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randon/Documents/GitHub/active-stock-investor/projects/tesla-analysis/data/"/>
    </mc:Choice>
  </mc:AlternateContent>
  <xr:revisionPtr revIDLastSave="0" documentId="13_ncr:1_{F7BC7BE5-2A08-F146-A89D-51242A52D80D}" xr6:coauthVersionLast="47" xr6:coauthVersionMax="47" xr10:uidLastSave="{00000000-0000-0000-0000-000000000000}"/>
  <bookViews>
    <workbookView xWindow="0" yWindow="680" windowWidth="34200" windowHeight="19660" tabRatio="500" xr2:uid="{00000000-000D-0000-FFFF-FFFF00000000}"/>
  </bookViews>
  <sheets>
    <sheet name="Assumptions" sheetId="1" r:id="rId1"/>
    <sheet name="Model" sheetId="2" r:id="rId2"/>
    <sheet name="Scenari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3" l="1"/>
  <c r="C43" i="3"/>
  <c r="B43" i="3"/>
  <c r="D41" i="3"/>
  <c r="C41" i="3"/>
  <c r="B41" i="3"/>
  <c r="D32" i="3"/>
  <c r="D33" i="3" s="1"/>
  <c r="D34" i="3" s="1"/>
  <c r="D35" i="3" s="1"/>
  <c r="C32" i="3"/>
  <c r="C33" i="3" s="1"/>
  <c r="C34" i="3" s="1"/>
  <c r="C35" i="3" s="1"/>
  <c r="B32" i="3"/>
  <c r="B33" i="3" s="1"/>
  <c r="B34" i="3" s="1"/>
  <c r="B35" i="3" s="1"/>
  <c r="D29" i="3"/>
  <c r="C29" i="3"/>
  <c r="B29" i="3"/>
  <c r="C25" i="3"/>
  <c r="C26" i="3" s="1"/>
  <c r="C24" i="3"/>
  <c r="C23" i="3"/>
  <c r="B23" i="3"/>
  <c r="B24" i="3" s="1"/>
  <c r="B25" i="3" s="1"/>
  <c r="B26" i="3" s="1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D23" i="3" s="1"/>
  <c r="D24" i="3" s="1"/>
  <c r="D25" i="3" s="1"/>
  <c r="D26" i="3" s="1"/>
  <c r="C15" i="3"/>
  <c r="B15" i="3"/>
  <c r="D4" i="3"/>
  <c r="C4" i="3"/>
  <c r="B4" i="3"/>
  <c r="B23" i="2"/>
  <c r="B21" i="2"/>
  <c r="B12" i="2"/>
  <c r="B13" i="2" s="1"/>
  <c r="B14" i="2" s="1"/>
  <c r="B15" i="2" s="1"/>
  <c r="B9" i="2"/>
  <c r="B3" i="2"/>
  <c r="B4" i="2" s="1"/>
  <c r="B5" i="2" s="1"/>
  <c r="B6" i="2" s="1"/>
  <c r="B38" i="3" l="1"/>
  <c r="C38" i="3"/>
  <c r="B18" i="2"/>
  <c r="B22" i="2" s="1"/>
  <c r="B24" i="2" s="1"/>
  <c r="D38" i="3"/>
  <c r="D42" i="3" l="1"/>
  <c r="D47" i="3"/>
  <c r="C47" i="3"/>
  <c r="C42" i="3"/>
  <c r="B42" i="3"/>
  <c r="B47" i="3"/>
  <c r="B52" i="3" s="1"/>
  <c r="B44" i="3" l="1"/>
  <c r="B49" i="3" s="1"/>
  <c r="B48" i="3"/>
  <c r="C44" i="3"/>
  <c r="C49" i="3" s="1"/>
  <c r="C48" i="3"/>
  <c r="D44" i="3"/>
  <c r="D49" i="3" s="1"/>
  <c r="D48" i="3"/>
  <c r="B53" i="3" l="1"/>
  <c r="B54" i="3"/>
</calcChain>
</file>

<file path=xl/sharedStrings.xml><?xml version="1.0" encoding="utf-8"?>
<sst xmlns="http://schemas.openxmlformats.org/spreadsheetml/2006/main" count="116" uniqueCount="77">
  <si>
    <t>Tesla Valuation Model — Base Case Assumptions</t>
  </si>
  <si>
    <t>Valuation Target Year</t>
  </si>
  <si>
    <t>Forward-looking model — not based on current reported figures</t>
  </si>
  <si>
    <t xml:space="preserve">  FLEET &amp; FSD</t>
  </si>
  <si>
    <t>Fleet Size (millions)</t>
  </si>
  <si>
    <t>Cumulative deliveries through 2028E</t>
  </si>
  <si>
    <t>FSD Penetration</t>
  </si>
  <si>
    <t>% of fleet on paid FSD subscription</t>
  </si>
  <si>
    <t>FSD Price per year ($)</t>
  </si>
  <si>
    <t>$99/month × 12 — Tesla current rate (tesla.com)</t>
  </si>
  <si>
    <t>FSD Margin</t>
  </si>
  <si>
    <t>Software gross margin estimate</t>
  </si>
  <si>
    <t>FSD Revenue Multiple</t>
  </si>
  <si>
    <t>P/E applied to FSD profit</t>
  </si>
  <si>
    <t xml:space="preserve">  EV SEGMENT</t>
  </si>
  <si>
    <t>EV Earnings ($B)</t>
  </si>
  <si>
    <t>Forward 2028E target (vs. $3.8B actual 2025)</t>
  </si>
  <si>
    <t>EV Multiple</t>
  </si>
  <si>
    <t>P/E multiple — conservative for EV leader</t>
  </si>
  <si>
    <t xml:space="preserve">  ROBOTAXI SEGMENT</t>
  </si>
  <si>
    <t>Robotaxi Vehicles (millions)</t>
  </si>
  <si>
    <t>Speculative 2028E fleet target</t>
  </si>
  <si>
    <t>Revenue per Robotaxi ($)</t>
  </si>
  <si>
    <t>Annual gross revenue per vehicle</t>
  </si>
  <si>
    <t>Take Rate</t>
  </si>
  <si>
    <t>Tesla's platform commission</t>
  </si>
  <si>
    <t>Robotaxi Margin</t>
  </si>
  <si>
    <t>Operating margin on Tesla's net revenue</t>
  </si>
  <si>
    <t>Robotaxi Revenue Multiple</t>
  </si>
  <si>
    <t>P/E applied to robotaxi profit</t>
  </si>
  <si>
    <t xml:space="preserve">  CAPITAL STRUCTURE  ★ NEW</t>
  </si>
  <si>
    <t>Shares Outstanding (millions)</t>
  </si>
  <si>
    <t>~3,200M diluted shares (Q1 2026 10-Q)</t>
  </si>
  <si>
    <t>Net Cash / (Debt) ($B)</t>
  </si>
  <si>
    <t>Cash $36.8B - Debt; Tesla net cash positive</t>
  </si>
  <si>
    <t xml:space="preserve">  COLOR LEGEND</t>
  </si>
  <si>
    <t>■</t>
  </si>
  <si>
    <t>Blue text — hardcoded input  (change these to sensitise)</t>
  </si>
  <si>
    <t>Black text — formula / calculated value</t>
  </si>
  <si>
    <t>Green text — cross-sheet reference</t>
  </si>
  <si>
    <t>Base Case — Detailed Calculations  (all inputs from Assumptions sheet)</t>
  </si>
  <si>
    <t xml:space="preserve">  FSD SEGMENT</t>
  </si>
  <si>
    <t>FSD Users (millions)</t>
  </si>
  <si>
    <t>FSD Revenue ($B)</t>
  </si>
  <si>
    <t>FSD Profit ($B)</t>
  </si>
  <si>
    <t>FSD Valuation ($B)</t>
  </si>
  <si>
    <t>EV Valuation ($B)</t>
  </si>
  <si>
    <t>Gross Revenue ($B)</t>
  </si>
  <si>
    <t>Tesla Share Revenue ($B)</t>
  </si>
  <si>
    <t>Robotaxi Profit ($B)</t>
  </si>
  <si>
    <t>Robotaxi Valuation ($B)</t>
  </si>
  <si>
    <t xml:space="preserve">  ENTERPRISE VALUE</t>
  </si>
  <si>
    <t>Total Enterprise Value ($B)</t>
  </si>
  <si>
    <t xml:space="preserve">  EQUITY BRIDGE  ★ NEW</t>
  </si>
  <si>
    <t>Add: Net Cash / (Debt) ($B)</t>
  </si>
  <si>
    <t>Equity Value ($B)</t>
  </si>
  <si>
    <t>Implied Share Price ($)</t>
  </si>
  <si>
    <t>Scenario Analysis — Target Year: 2028</t>
  </si>
  <si>
    <t>Bear</t>
  </si>
  <si>
    <t>Base</t>
  </si>
  <si>
    <t>Bull</t>
  </si>
  <si>
    <t>Probability</t>
  </si>
  <si>
    <t xml:space="preserve">  SCENARIO-SPECIFIC ASSUMPTIONS  ★ NEW (replacing flat multipliers)</t>
  </si>
  <si>
    <t>EV Earnings Multiple</t>
  </si>
  <si>
    <t xml:space="preserve">  FIXED ASSUMPTIONS  (shared across all scenarios — from Assumptions sheet)</t>
  </si>
  <si>
    <t xml:space="preserve">  PROBABILITY WEIGHTING</t>
  </si>
  <si>
    <t>Weighted Enterprise Value ($B)</t>
  </si>
  <si>
    <t>Weighted Equity Value ($B)</t>
  </si>
  <si>
    <t>Weighted Share Price ($)</t>
  </si>
  <si>
    <t xml:space="preserve">  EXPECTED VALUES  ★ NEW (probability-weighted sum)</t>
  </si>
  <si>
    <t>Expected Enterprise Value ($B)</t>
  </si>
  <si>
    <t>Expected Equity Value ($B)</t>
  </si>
  <si>
    <t>Expected Share Price ($)  ★ NEW</t>
  </si>
  <si>
    <t xml:space="preserve">  SCENARIO RATIONALE</t>
  </si>
  <si>
    <t>FSD lags (15% penetration vs 30% base). EV earnings compress to $8B. Multiple contraction as growth disappoints. Robotaxi limited to 0.5M vehicles.</t>
  </si>
  <si>
    <t>All assumptions match the Assumptions sheet directly. Moderate FSD growth, stable EV earnings, and robotaxi ramp per plan.</t>
  </si>
  <si>
    <t>FSD reaches 50% penetration. EV earnings recover to $18B. Multiple expansion on AI narrative. Robotaxi scales to 4M vehicles.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</si>
</sst>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&quot; M&quot;"/>
    <numFmt numFmtId="165" formatCode="0.0%"/>
    <numFmt numFmtId="166" formatCode="\$#,##0"/>
    <numFmt numFmtId="167" formatCode="0.0\x"/>
    <numFmt numFmtId="168" formatCode="#,##0.0&quot; $B&quot;"/>
    <numFmt numFmtId="169" formatCode="\$#,##0.0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888888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sz val="8"/>
      <color rgb="FF55555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CE4EC"/>
      </patternFill>
    </fill>
    <fill>
      <patternFill patternType="solid">
        <fgColor rgb="FFFFF2CC"/>
        <bgColor rgb="FFFAEEDA"/>
      </patternFill>
    </fill>
    <fill>
      <patternFill patternType="solid">
        <fgColor rgb="FFEEEDFE"/>
        <bgColor rgb="FFE8F5E9"/>
      </patternFill>
    </fill>
    <fill>
      <patternFill patternType="solid">
        <fgColor rgb="FFE1F5EE"/>
        <bgColor rgb="FFE8F5E9"/>
      </patternFill>
    </fill>
    <fill>
      <patternFill patternType="solid">
        <fgColor rgb="FFFAEEDA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FCE4EC"/>
        <bgColor rgb="FFFAEEDA"/>
      </patternFill>
    </fill>
    <fill>
      <patternFill patternType="solid">
        <fgColor rgb="FFE8F5E9"/>
        <bgColor rgb="FFE1F5EE"/>
      </patternFill>
    </fill>
    <fill>
      <patternFill patternType="solid">
        <fgColor rgb="FFFFF8E1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8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 vertical="center" indent="1"/>
    </xf>
    <xf numFmtId="1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5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/>
    <xf numFmtId="3" fontId="3" fillId="0" borderId="0" xfId="0" applyNumberFormat="1" applyFont="1" applyAlignment="1">
      <alignment horizontal="righ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5" borderId="0" xfId="0" applyFont="1" applyFill="1" applyAlignment="1">
      <alignment horizontal="left" vertical="center"/>
    </xf>
    <xf numFmtId="0" fontId="0" fillId="5" borderId="0" xfId="0" applyFill="1"/>
    <xf numFmtId="164" fontId="6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2" fillId="7" borderId="0" xfId="0" applyFont="1" applyFill="1" applyAlignment="1">
      <alignment horizontal="left" vertical="center"/>
    </xf>
    <xf numFmtId="0" fontId="0" fillId="7" borderId="0" xfId="0" applyFill="1"/>
    <xf numFmtId="168" fontId="2" fillId="8" borderId="0" xfId="0" applyNumberFormat="1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169" fontId="7" fillId="8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2"/>
    </xf>
    <xf numFmtId="166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2"/>
    </xf>
    <xf numFmtId="168" fontId="2" fillId="0" borderId="0" xfId="0" applyNumberFormat="1" applyFont="1" applyAlignment="1">
      <alignment horizontal="right" vertical="center"/>
    </xf>
    <xf numFmtId="169" fontId="2" fillId="8" borderId="0" xfId="0" applyNumberFormat="1" applyFont="1" applyFill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C"/>
      <rgbColor rgb="FF888888"/>
      <rgbColor rgb="FF9999FF"/>
      <rgbColor rgb="FF993366"/>
      <rgbColor rgb="FFFFF8E1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DFE"/>
      <rgbColor rgb="FFFFF2CC"/>
      <rgbColor rgb="FFFAEEDA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180" zoomScaleNormal="100" workbookViewId="0">
      <pane xSplit="1" topLeftCell="B1" activePane="topRight" state="frozen"/>
      <selection pane="topRight" activeCell="C29" sqref="A1:C29"/>
    </sheetView>
  </sheetViews>
  <sheetFormatPr baseColWidth="10" defaultColWidth="8.6640625" defaultRowHeight="15" x14ac:dyDescent="0.2"/>
  <cols>
    <col min="1" max="1" width="36" customWidth="1"/>
    <col min="2" max="2" width="18" customWidth="1"/>
    <col min="3" max="3" width="52" customWidth="1"/>
  </cols>
  <sheetData>
    <row r="1" spans="1:3" ht="19.5" customHeight="1" x14ac:dyDescent="0.2">
      <c r="A1" s="2" t="s">
        <v>0</v>
      </c>
      <c r="B1" s="3"/>
      <c r="C1" s="3"/>
    </row>
    <row r="2" spans="1:3" ht="13.5" customHeight="1" x14ac:dyDescent="0.2">
      <c r="A2" s="4" t="s">
        <v>1</v>
      </c>
      <c r="B2" s="5">
        <v>2028</v>
      </c>
      <c r="C2" s="6" t="s">
        <v>2</v>
      </c>
    </row>
    <row r="3" spans="1:3" ht="6" customHeight="1" x14ac:dyDescent="0.2"/>
    <row r="4" spans="1:3" ht="13.5" customHeight="1" x14ac:dyDescent="0.2">
      <c r="A4" s="7" t="s">
        <v>3</v>
      </c>
      <c r="B4" s="8"/>
      <c r="C4" s="8"/>
    </row>
    <row r="5" spans="1:3" ht="13.5" customHeight="1" x14ac:dyDescent="0.2">
      <c r="A5" s="9" t="s">
        <v>4</v>
      </c>
      <c r="B5" s="10">
        <v>9</v>
      </c>
      <c r="C5" s="6" t="s">
        <v>5</v>
      </c>
    </row>
    <row r="6" spans="1:3" ht="13.5" customHeight="1" x14ac:dyDescent="0.2">
      <c r="A6" s="9" t="s">
        <v>6</v>
      </c>
      <c r="B6" s="11">
        <v>0.3</v>
      </c>
      <c r="C6" s="6" t="s">
        <v>7</v>
      </c>
    </row>
    <row r="7" spans="1:3" ht="13.5" customHeight="1" x14ac:dyDescent="0.2">
      <c r="A7" s="9" t="s">
        <v>8</v>
      </c>
      <c r="B7" s="12">
        <v>1200</v>
      </c>
      <c r="C7" s="6" t="s">
        <v>9</v>
      </c>
    </row>
    <row r="8" spans="1:3" ht="13.5" customHeight="1" x14ac:dyDescent="0.2">
      <c r="A8" s="9" t="s">
        <v>10</v>
      </c>
      <c r="B8" s="11">
        <v>0.75</v>
      </c>
      <c r="C8" s="6" t="s">
        <v>11</v>
      </c>
    </row>
    <row r="9" spans="1:3" ht="13.5" customHeight="1" x14ac:dyDescent="0.2">
      <c r="A9" s="9" t="s">
        <v>12</v>
      </c>
      <c r="B9" s="13">
        <v>25</v>
      </c>
      <c r="C9" s="6" t="s">
        <v>13</v>
      </c>
    </row>
    <row r="10" spans="1:3" ht="6" customHeight="1" x14ac:dyDescent="0.2"/>
    <row r="11" spans="1:3" ht="13.5" customHeight="1" x14ac:dyDescent="0.2">
      <c r="A11" s="7" t="s">
        <v>14</v>
      </c>
      <c r="B11" s="8"/>
      <c r="C11" s="8"/>
    </row>
    <row r="12" spans="1:3" ht="13.5" customHeight="1" x14ac:dyDescent="0.2">
      <c r="A12" s="9" t="s">
        <v>15</v>
      </c>
      <c r="B12" s="14">
        <v>13</v>
      </c>
      <c r="C12" s="6" t="s">
        <v>16</v>
      </c>
    </row>
    <row r="13" spans="1:3" ht="13.5" customHeight="1" x14ac:dyDescent="0.2">
      <c r="A13" s="9" t="s">
        <v>17</v>
      </c>
      <c r="B13" s="13">
        <v>20</v>
      </c>
      <c r="C13" s="6" t="s">
        <v>18</v>
      </c>
    </row>
    <row r="14" spans="1:3" ht="6" customHeight="1" x14ac:dyDescent="0.2"/>
    <row r="15" spans="1:3" ht="13.5" customHeight="1" x14ac:dyDescent="0.2">
      <c r="A15" s="7" t="s">
        <v>19</v>
      </c>
      <c r="B15" s="8"/>
      <c r="C15" s="8"/>
    </row>
    <row r="16" spans="1:3" ht="13.5" customHeight="1" x14ac:dyDescent="0.2">
      <c r="A16" s="9" t="s">
        <v>20</v>
      </c>
      <c r="B16" s="10">
        <v>2</v>
      </c>
      <c r="C16" s="6" t="s">
        <v>21</v>
      </c>
    </row>
    <row r="17" spans="1:3" ht="13.5" customHeight="1" x14ac:dyDescent="0.2">
      <c r="A17" s="9" t="s">
        <v>22</v>
      </c>
      <c r="B17" s="12">
        <v>25000</v>
      </c>
      <c r="C17" s="6" t="s">
        <v>23</v>
      </c>
    </row>
    <row r="18" spans="1:3" ht="13.5" customHeight="1" x14ac:dyDescent="0.2">
      <c r="A18" s="9" t="s">
        <v>24</v>
      </c>
      <c r="B18" s="11">
        <v>0.25</v>
      </c>
      <c r="C18" s="6" t="s">
        <v>25</v>
      </c>
    </row>
    <row r="19" spans="1:3" ht="13.5" customHeight="1" x14ac:dyDescent="0.2">
      <c r="A19" s="9" t="s">
        <v>26</v>
      </c>
      <c r="B19" s="11">
        <v>0.45</v>
      </c>
      <c r="C19" s="6" t="s">
        <v>27</v>
      </c>
    </row>
    <row r="20" spans="1:3" ht="13.5" customHeight="1" x14ac:dyDescent="0.2">
      <c r="A20" s="9" t="s">
        <v>28</v>
      </c>
      <c r="B20" s="13">
        <v>25</v>
      </c>
      <c r="C20" s="6" t="s">
        <v>29</v>
      </c>
    </row>
    <row r="21" spans="1:3" ht="6" customHeight="1" x14ac:dyDescent="0.2"/>
    <row r="22" spans="1:3" ht="13.5" customHeight="1" x14ac:dyDescent="0.2">
      <c r="A22" s="15" t="s">
        <v>30</v>
      </c>
      <c r="B22" s="16"/>
      <c r="C22" s="16"/>
    </row>
    <row r="23" spans="1:3" ht="13.5" customHeight="1" x14ac:dyDescent="0.2">
      <c r="A23" s="9" t="s">
        <v>31</v>
      </c>
      <c r="B23" s="17">
        <v>3200</v>
      </c>
      <c r="C23" s="6" t="s">
        <v>32</v>
      </c>
    </row>
    <row r="24" spans="1:3" ht="13.5" customHeight="1" x14ac:dyDescent="0.2">
      <c r="A24" s="9" t="s">
        <v>33</v>
      </c>
      <c r="B24" s="14">
        <v>37</v>
      </c>
      <c r="C24" s="6" t="s">
        <v>34</v>
      </c>
    </row>
    <row r="25" spans="1:3" ht="6" customHeight="1" x14ac:dyDescent="0.2"/>
    <row r="26" spans="1:3" ht="13.5" customHeight="1" x14ac:dyDescent="0.2">
      <c r="A26" s="7" t="s">
        <v>35</v>
      </c>
      <c r="B26" s="8"/>
      <c r="C26" s="8"/>
    </row>
    <row r="27" spans="1:3" ht="12.75" customHeight="1" x14ac:dyDescent="0.2">
      <c r="A27" s="18" t="s">
        <v>36</v>
      </c>
      <c r="B27" s="9" t="s">
        <v>37</v>
      </c>
    </row>
    <row r="28" spans="1:3" ht="12.75" customHeight="1" x14ac:dyDescent="0.2">
      <c r="A28" s="19" t="s">
        <v>36</v>
      </c>
      <c r="B28" s="9" t="s">
        <v>38</v>
      </c>
    </row>
    <row r="29" spans="1:3" ht="12.75" customHeight="1" x14ac:dyDescent="0.2">
      <c r="A29" s="20" t="s">
        <v>36</v>
      </c>
      <c r="B29" s="9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="206" zoomScaleNormal="100" workbookViewId="0">
      <pane xSplit="1" topLeftCell="B1" activePane="topRight" state="frozen"/>
      <selection pane="topRight" sqref="A1:B24"/>
    </sheetView>
  </sheetViews>
  <sheetFormatPr baseColWidth="10" defaultColWidth="8.6640625" defaultRowHeight="15" x14ac:dyDescent="0.2"/>
  <cols>
    <col min="1" max="1" width="34" customWidth="1"/>
    <col min="2" max="2" width="31.5" customWidth="1"/>
  </cols>
  <sheetData>
    <row r="1" spans="1:2" ht="19.5" customHeight="1" x14ac:dyDescent="0.2">
      <c r="A1" s="2" t="s">
        <v>40</v>
      </c>
      <c r="B1" s="3"/>
    </row>
    <row r="2" spans="1:2" ht="13.5" customHeight="1" x14ac:dyDescent="0.2">
      <c r="A2" s="21" t="s">
        <v>41</v>
      </c>
      <c r="B2" s="22"/>
    </row>
    <row r="3" spans="1:2" ht="13.5" customHeight="1" x14ac:dyDescent="0.2">
      <c r="A3" s="9" t="s">
        <v>42</v>
      </c>
      <c r="B3" s="23">
        <f>Assumptions!B5*Assumptions!B6</f>
        <v>2.6999999999999997</v>
      </c>
    </row>
    <row r="4" spans="1:2" ht="13.5" customHeight="1" x14ac:dyDescent="0.2">
      <c r="A4" s="9" t="s">
        <v>43</v>
      </c>
      <c r="B4" s="24">
        <f>B3*Assumptions!B7/1000</f>
        <v>3.2399999999999993</v>
      </c>
    </row>
    <row r="5" spans="1:2" ht="13.5" customHeight="1" x14ac:dyDescent="0.2">
      <c r="A5" s="9" t="s">
        <v>44</v>
      </c>
      <c r="B5" s="24">
        <f>B4*Assumptions!B8</f>
        <v>2.4299999999999997</v>
      </c>
    </row>
    <row r="6" spans="1:2" ht="13.5" customHeight="1" x14ac:dyDescent="0.2">
      <c r="A6" s="9" t="s">
        <v>45</v>
      </c>
      <c r="B6" s="24">
        <f>B5*Assumptions!B9</f>
        <v>60.749999999999993</v>
      </c>
    </row>
    <row r="7" spans="1:2" ht="6" customHeight="1" x14ac:dyDescent="0.2"/>
    <row r="8" spans="1:2" ht="13.5" customHeight="1" x14ac:dyDescent="0.2">
      <c r="A8" s="25" t="s">
        <v>14</v>
      </c>
      <c r="B8" s="26"/>
    </row>
    <row r="9" spans="1:2" ht="13.5" customHeight="1" x14ac:dyDescent="0.2">
      <c r="A9" s="9" t="s">
        <v>46</v>
      </c>
      <c r="B9" s="24">
        <f>Assumptions!B12*Assumptions!B13</f>
        <v>260</v>
      </c>
    </row>
    <row r="10" spans="1:2" ht="6" customHeight="1" x14ac:dyDescent="0.2"/>
    <row r="11" spans="1:2" ht="13.5" customHeight="1" x14ac:dyDescent="0.2">
      <c r="A11" s="27" t="s">
        <v>19</v>
      </c>
      <c r="B11" s="28"/>
    </row>
    <row r="12" spans="1:2" ht="13.5" customHeight="1" x14ac:dyDescent="0.2">
      <c r="A12" s="9" t="s">
        <v>47</v>
      </c>
      <c r="B12" s="24">
        <f>Assumptions!B16*Assumptions!B17/1000</f>
        <v>50</v>
      </c>
    </row>
    <row r="13" spans="1:2" ht="13.5" customHeight="1" x14ac:dyDescent="0.2">
      <c r="A13" s="9" t="s">
        <v>48</v>
      </c>
      <c r="B13" s="24">
        <f>B12*Assumptions!B18</f>
        <v>12.5</v>
      </c>
    </row>
    <row r="14" spans="1:2" ht="13.5" customHeight="1" x14ac:dyDescent="0.2">
      <c r="A14" s="9" t="s">
        <v>49</v>
      </c>
      <c r="B14" s="24">
        <f>B13*Assumptions!B19</f>
        <v>5.625</v>
      </c>
    </row>
    <row r="15" spans="1:2" ht="13.5" customHeight="1" x14ac:dyDescent="0.2">
      <c r="A15" s="9" t="s">
        <v>50</v>
      </c>
      <c r="B15" s="24">
        <f>B14*Assumptions!B20</f>
        <v>140.625</v>
      </c>
    </row>
    <row r="16" spans="1:2" ht="6" customHeight="1" x14ac:dyDescent="0.2"/>
    <row r="17" spans="1:2" ht="13.5" customHeight="1" x14ac:dyDescent="0.2">
      <c r="A17" s="7" t="s">
        <v>51</v>
      </c>
      <c r="B17" s="8"/>
    </row>
    <row r="18" spans="1:2" ht="13.5" customHeight="1" x14ac:dyDescent="0.2">
      <c r="A18" s="4" t="s">
        <v>52</v>
      </c>
      <c r="B18" s="29">
        <f>B6+B9+B15</f>
        <v>461.375</v>
      </c>
    </row>
    <row r="19" spans="1:2" ht="6" customHeight="1" x14ac:dyDescent="0.2"/>
    <row r="20" spans="1:2" ht="13.5" customHeight="1" x14ac:dyDescent="0.2">
      <c r="A20" s="15" t="s">
        <v>53</v>
      </c>
      <c r="B20" s="16"/>
    </row>
    <row r="21" spans="1:2" ht="13.5" customHeight="1" x14ac:dyDescent="0.2">
      <c r="A21" s="9" t="s">
        <v>54</v>
      </c>
      <c r="B21" s="24">
        <f>Assumptions!B24</f>
        <v>37</v>
      </c>
    </row>
    <row r="22" spans="1:2" ht="13.5" customHeight="1" x14ac:dyDescent="0.2">
      <c r="A22" s="9" t="s">
        <v>55</v>
      </c>
      <c r="B22" s="24">
        <f>B18+B21</f>
        <v>498.375</v>
      </c>
    </row>
    <row r="23" spans="1:2" ht="13.5" customHeight="1" x14ac:dyDescent="0.2">
      <c r="A23" s="9" t="s">
        <v>31</v>
      </c>
      <c r="B23" s="30">
        <f>Assumptions!B23</f>
        <v>3200</v>
      </c>
    </row>
    <row r="24" spans="1:2" ht="13.5" customHeight="1" x14ac:dyDescent="0.2">
      <c r="A24" s="4" t="s">
        <v>56</v>
      </c>
      <c r="B24" s="31">
        <f>B22*1000/B23</f>
        <v>155.7421875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topLeftCell="A19" zoomScale="134" zoomScaleNormal="100" workbookViewId="0">
      <pane xSplit="1" topLeftCell="B1" activePane="topRight" state="frozen"/>
      <selection pane="topRight" activeCell="B59" sqref="A1:D59"/>
    </sheetView>
  </sheetViews>
  <sheetFormatPr baseColWidth="10" defaultColWidth="8.6640625" defaultRowHeight="15" x14ac:dyDescent="0.2"/>
  <cols>
    <col min="1" max="1" width="36" customWidth="1"/>
    <col min="2" max="4" width="18" customWidth="1"/>
  </cols>
  <sheetData>
    <row r="1" spans="1:4" ht="19.5" customHeight="1" x14ac:dyDescent="0.2">
      <c r="A1" s="2" t="s">
        <v>57</v>
      </c>
      <c r="B1" s="3"/>
      <c r="C1" s="3"/>
      <c r="D1" s="3"/>
    </row>
    <row r="2" spans="1:4" ht="15.75" customHeight="1" x14ac:dyDescent="0.2">
      <c r="A2" s="32"/>
      <c r="B2" s="33" t="s">
        <v>58</v>
      </c>
      <c r="C2" s="34" t="s">
        <v>59</v>
      </c>
      <c r="D2" s="35" t="s">
        <v>60</v>
      </c>
    </row>
    <row r="3" spans="1:4" ht="13.5" customHeight="1" x14ac:dyDescent="0.2">
      <c r="A3" s="4" t="s">
        <v>61</v>
      </c>
      <c r="B3" s="11">
        <v>0.2</v>
      </c>
      <c r="C3" s="11">
        <v>0.5</v>
      </c>
      <c r="D3" s="11">
        <v>0.3</v>
      </c>
    </row>
    <row r="4" spans="1:4" ht="13.5" customHeight="1" x14ac:dyDescent="0.2">
      <c r="A4" s="9" t="s">
        <v>1</v>
      </c>
      <c r="B4" s="36">
        <f>Assumptions!B2</f>
        <v>2028</v>
      </c>
      <c r="C4" s="36">
        <f>Assumptions!B2</f>
        <v>2028</v>
      </c>
      <c r="D4" s="36">
        <f>Assumptions!B2</f>
        <v>2028</v>
      </c>
    </row>
    <row r="5" spans="1:4" ht="6" customHeight="1" x14ac:dyDescent="0.2"/>
    <row r="6" spans="1:4" ht="13.5" customHeight="1" x14ac:dyDescent="0.2">
      <c r="A6" s="7" t="s">
        <v>62</v>
      </c>
      <c r="B6" s="8"/>
      <c r="C6" s="8"/>
      <c r="D6" s="8"/>
    </row>
    <row r="7" spans="1:4" ht="13.5" customHeight="1" x14ac:dyDescent="0.2">
      <c r="A7" s="37" t="s">
        <v>6</v>
      </c>
      <c r="B7" s="11">
        <v>0.15</v>
      </c>
      <c r="C7" s="11">
        <v>0.3</v>
      </c>
      <c r="D7" s="11">
        <v>0.5</v>
      </c>
    </row>
    <row r="8" spans="1:4" ht="13.5" customHeight="1" x14ac:dyDescent="0.2">
      <c r="A8" s="37" t="s">
        <v>15</v>
      </c>
      <c r="B8" s="14">
        <v>8</v>
      </c>
      <c r="C8" s="14">
        <v>13</v>
      </c>
      <c r="D8" s="14">
        <v>18</v>
      </c>
    </row>
    <row r="9" spans="1:4" ht="13.5" customHeight="1" x14ac:dyDescent="0.2">
      <c r="A9" s="37" t="s">
        <v>12</v>
      </c>
      <c r="B9" s="13">
        <v>20</v>
      </c>
      <c r="C9" s="13">
        <v>25</v>
      </c>
      <c r="D9" s="13">
        <v>30</v>
      </c>
    </row>
    <row r="10" spans="1:4" ht="13.5" customHeight="1" x14ac:dyDescent="0.2">
      <c r="A10" s="37" t="s">
        <v>63</v>
      </c>
      <c r="B10" s="13">
        <v>15</v>
      </c>
      <c r="C10" s="13">
        <v>20</v>
      </c>
      <c r="D10" s="13">
        <v>25</v>
      </c>
    </row>
    <row r="11" spans="1:4" ht="13.5" customHeight="1" x14ac:dyDescent="0.2">
      <c r="A11" s="37" t="s">
        <v>20</v>
      </c>
      <c r="B11" s="10">
        <v>0.5</v>
      </c>
      <c r="C11" s="10">
        <v>2</v>
      </c>
      <c r="D11" s="10">
        <v>4</v>
      </c>
    </row>
    <row r="12" spans="1:4" ht="13.5" customHeight="1" x14ac:dyDescent="0.2">
      <c r="A12" s="37" t="s">
        <v>28</v>
      </c>
      <c r="B12" s="13">
        <v>20</v>
      </c>
      <c r="C12" s="13">
        <v>25</v>
      </c>
      <c r="D12" s="13">
        <v>35</v>
      </c>
    </row>
    <row r="13" spans="1:4" ht="6" customHeight="1" x14ac:dyDescent="0.2"/>
    <row r="14" spans="1:4" ht="13.5" customHeight="1" x14ac:dyDescent="0.2">
      <c r="A14" s="7" t="s">
        <v>64</v>
      </c>
      <c r="B14" s="8"/>
      <c r="C14" s="8"/>
      <c r="D14" s="8"/>
    </row>
    <row r="15" spans="1:4" ht="13.5" customHeight="1" x14ac:dyDescent="0.2">
      <c r="A15" s="37" t="s">
        <v>4</v>
      </c>
      <c r="B15" s="23">
        <f>Assumptions!B5</f>
        <v>9</v>
      </c>
      <c r="C15" s="23">
        <f>Assumptions!B5</f>
        <v>9</v>
      </c>
      <c r="D15" s="23">
        <f>Assumptions!B5</f>
        <v>9</v>
      </c>
    </row>
    <row r="16" spans="1:4" ht="13.5" customHeight="1" x14ac:dyDescent="0.2">
      <c r="A16" s="37" t="s">
        <v>8</v>
      </c>
      <c r="B16" s="38">
        <f>Assumptions!B7</f>
        <v>1200</v>
      </c>
      <c r="C16" s="38">
        <f>Assumptions!B7</f>
        <v>1200</v>
      </c>
      <c r="D16" s="38">
        <f>Assumptions!B7</f>
        <v>1200</v>
      </c>
    </row>
    <row r="17" spans="1:4" ht="13.5" customHeight="1" x14ac:dyDescent="0.2">
      <c r="A17" s="37" t="s">
        <v>10</v>
      </c>
      <c r="B17" s="39">
        <f>Assumptions!B8</f>
        <v>0.75</v>
      </c>
      <c r="C17" s="39">
        <f>Assumptions!B8</f>
        <v>0.75</v>
      </c>
      <c r="D17" s="39">
        <f>Assumptions!B8</f>
        <v>0.75</v>
      </c>
    </row>
    <row r="18" spans="1:4" ht="13.5" customHeight="1" x14ac:dyDescent="0.2">
      <c r="A18" s="37" t="s">
        <v>22</v>
      </c>
      <c r="B18" s="38">
        <f>Assumptions!B17</f>
        <v>25000</v>
      </c>
      <c r="C18" s="38">
        <f>Assumptions!B17</f>
        <v>25000</v>
      </c>
      <c r="D18" s="38">
        <f>Assumptions!B17</f>
        <v>25000</v>
      </c>
    </row>
    <row r="19" spans="1:4" ht="13.5" customHeight="1" x14ac:dyDescent="0.2">
      <c r="A19" s="37" t="s">
        <v>24</v>
      </c>
      <c r="B19" s="39">
        <f>Assumptions!B18</f>
        <v>0.25</v>
      </c>
      <c r="C19" s="39">
        <f>Assumptions!B18</f>
        <v>0.25</v>
      </c>
      <c r="D19" s="39">
        <f>Assumptions!B18</f>
        <v>0.25</v>
      </c>
    </row>
    <row r="20" spans="1:4" ht="13.5" customHeight="1" x14ac:dyDescent="0.2">
      <c r="A20" s="37" t="s">
        <v>26</v>
      </c>
      <c r="B20" s="39">
        <f>Assumptions!B19</f>
        <v>0.45</v>
      </c>
      <c r="C20" s="39">
        <f>Assumptions!B19</f>
        <v>0.45</v>
      </c>
      <c r="D20" s="39">
        <f>Assumptions!B19</f>
        <v>0.45</v>
      </c>
    </row>
    <row r="21" spans="1:4" ht="6" customHeight="1" x14ac:dyDescent="0.2"/>
    <row r="22" spans="1:4" ht="13.5" customHeight="1" x14ac:dyDescent="0.2">
      <c r="A22" s="21" t="s">
        <v>41</v>
      </c>
      <c r="B22" s="22"/>
      <c r="C22" s="22"/>
      <c r="D22" s="22"/>
    </row>
    <row r="23" spans="1:4" ht="13.5" customHeight="1" x14ac:dyDescent="0.2">
      <c r="A23" s="37" t="s">
        <v>42</v>
      </c>
      <c r="B23" s="40">
        <f>B15*B7</f>
        <v>1.3499999999999999</v>
      </c>
      <c r="C23" s="40">
        <f>C15*C7</f>
        <v>2.6999999999999997</v>
      </c>
      <c r="D23" s="40">
        <f>D15*D7</f>
        <v>4.5</v>
      </c>
    </row>
    <row r="24" spans="1:4" ht="13.5" customHeight="1" x14ac:dyDescent="0.2">
      <c r="A24" s="37" t="s">
        <v>43</v>
      </c>
      <c r="B24" s="41">
        <f>B23*B16/1000</f>
        <v>1.6199999999999997</v>
      </c>
      <c r="C24" s="41">
        <f>C23*C16/1000</f>
        <v>3.2399999999999993</v>
      </c>
      <c r="D24" s="41">
        <f>D23*D16/1000</f>
        <v>5.4</v>
      </c>
    </row>
    <row r="25" spans="1:4" ht="13.5" customHeight="1" x14ac:dyDescent="0.2">
      <c r="A25" s="37" t="s">
        <v>44</v>
      </c>
      <c r="B25" s="41">
        <f>B24*B17</f>
        <v>1.2149999999999999</v>
      </c>
      <c r="C25" s="41">
        <f>C24*C17</f>
        <v>2.4299999999999997</v>
      </c>
      <c r="D25" s="41">
        <f>D24*D17</f>
        <v>4.0500000000000007</v>
      </c>
    </row>
    <row r="26" spans="1:4" ht="13.5" customHeight="1" x14ac:dyDescent="0.2">
      <c r="A26" s="42" t="s">
        <v>45</v>
      </c>
      <c r="B26" s="43">
        <f>B25*B9</f>
        <v>24.299999999999997</v>
      </c>
      <c r="C26" s="43">
        <f>C25*C9</f>
        <v>60.749999999999993</v>
      </c>
      <c r="D26" s="43">
        <f>D25*D9</f>
        <v>121.50000000000003</v>
      </c>
    </row>
    <row r="27" spans="1:4" ht="6" customHeight="1" x14ac:dyDescent="0.2"/>
    <row r="28" spans="1:4" ht="13.5" customHeight="1" x14ac:dyDescent="0.2">
      <c r="A28" s="25" t="s">
        <v>14</v>
      </c>
      <c r="B28" s="26"/>
      <c r="C28" s="26"/>
      <c r="D28" s="26"/>
    </row>
    <row r="29" spans="1:4" ht="13.5" customHeight="1" x14ac:dyDescent="0.2">
      <c r="A29" s="42" t="s">
        <v>46</v>
      </c>
      <c r="B29" s="43">
        <f>B8*B10</f>
        <v>120</v>
      </c>
      <c r="C29" s="43">
        <f>C8*C10</f>
        <v>260</v>
      </c>
      <c r="D29" s="43">
        <f>D8*D10</f>
        <v>450</v>
      </c>
    </row>
    <row r="30" spans="1:4" ht="6" customHeight="1" x14ac:dyDescent="0.2"/>
    <row r="31" spans="1:4" ht="13.5" customHeight="1" x14ac:dyDescent="0.2">
      <c r="A31" s="27" t="s">
        <v>19</v>
      </c>
      <c r="B31" s="28"/>
      <c r="C31" s="28"/>
      <c r="D31" s="28"/>
    </row>
    <row r="32" spans="1:4" ht="13.5" customHeight="1" x14ac:dyDescent="0.2">
      <c r="A32" s="37" t="s">
        <v>47</v>
      </c>
      <c r="B32" s="41">
        <f>B11*B18/1000</f>
        <v>12.5</v>
      </c>
      <c r="C32" s="41">
        <f>C11*C18/1000</f>
        <v>50</v>
      </c>
      <c r="D32" s="41">
        <f>D11*D18/1000</f>
        <v>100</v>
      </c>
    </row>
    <row r="33" spans="1:4" ht="13.5" customHeight="1" x14ac:dyDescent="0.2">
      <c r="A33" s="37" t="s">
        <v>48</v>
      </c>
      <c r="B33" s="41">
        <f t="shared" ref="B33:D34" si="0">B32*B19</f>
        <v>3.125</v>
      </c>
      <c r="C33" s="41">
        <f t="shared" si="0"/>
        <v>12.5</v>
      </c>
      <c r="D33" s="41">
        <f t="shared" si="0"/>
        <v>25</v>
      </c>
    </row>
    <row r="34" spans="1:4" ht="13.5" customHeight="1" x14ac:dyDescent="0.2">
      <c r="A34" s="37" t="s">
        <v>49</v>
      </c>
      <c r="B34" s="41">
        <f t="shared" si="0"/>
        <v>1.40625</v>
      </c>
      <c r="C34" s="41">
        <f t="shared" si="0"/>
        <v>5.625</v>
      </c>
      <c r="D34" s="41">
        <f t="shared" si="0"/>
        <v>11.25</v>
      </c>
    </row>
    <row r="35" spans="1:4" ht="13.5" customHeight="1" x14ac:dyDescent="0.2">
      <c r="A35" s="42" t="s">
        <v>50</v>
      </c>
      <c r="B35" s="43">
        <f>B34*B12</f>
        <v>28.125</v>
      </c>
      <c r="C35" s="43">
        <f>C34*C12</f>
        <v>140.625</v>
      </c>
      <c r="D35" s="43">
        <f>D34*D12</f>
        <v>393.75</v>
      </c>
    </row>
    <row r="36" spans="1:4" ht="6" customHeight="1" x14ac:dyDescent="0.2"/>
    <row r="37" spans="1:4" ht="13.5" customHeight="1" x14ac:dyDescent="0.2">
      <c r="A37" s="7" t="s">
        <v>51</v>
      </c>
      <c r="B37" s="8"/>
      <c r="C37" s="8"/>
      <c r="D37" s="8"/>
    </row>
    <row r="38" spans="1:4" ht="13.5" customHeight="1" x14ac:dyDescent="0.2">
      <c r="A38" s="4" t="s">
        <v>52</v>
      </c>
      <c r="B38" s="29">
        <f>B26+B29+B35</f>
        <v>172.42500000000001</v>
      </c>
      <c r="C38" s="29">
        <f>C26+C29+C35</f>
        <v>461.375</v>
      </c>
      <c r="D38" s="29">
        <f>D26+D29+D35</f>
        <v>965.25</v>
      </c>
    </row>
    <row r="39" spans="1:4" ht="6" customHeight="1" x14ac:dyDescent="0.2"/>
    <row r="40" spans="1:4" ht="13.5" customHeight="1" x14ac:dyDescent="0.2">
      <c r="A40" s="15" t="s">
        <v>53</v>
      </c>
      <c r="B40" s="16"/>
      <c r="C40" s="16"/>
      <c r="D40" s="16"/>
    </row>
    <row r="41" spans="1:4" ht="13.5" customHeight="1" x14ac:dyDescent="0.2">
      <c r="A41" s="37" t="s">
        <v>54</v>
      </c>
      <c r="B41" s="24">
        <f>Assumptions!B24</f>
        <v>37</v>
      </c>
      <c r="C41" s="24">
        <f>Assumptions!B24</f>
        <v>37</v>
      </c>
      <c r="D41" s="24">
        <f>Assumptions!B24</f>
        <v>37</v>
      </c>
    </row>
    <row r="42" spans="1:4" ht="13.5" customHeight="1" x14ac:dyDescent="0.2">
      <c r="A42" s="42" t="s">
        <v>55</v>
      </c>
      <c r="B42" s="43">
        <f>B38+B41</f>
        <v>209.42500000000001</v>
      </c>
      <c r="C42" s="43">
        <f>C38+C41</f>
        <v>498.375</v>
      </c>
      <c r="D42" s="43">
        <f>D38+D41</f>
        <v>1002.25</v>
      </c>
    </row>
    <row r="43" spans="1:4" ht="13.5" customHeight="1" x14ac:dyDescent="0.2">
      <c r="A43" s="37" t="s">
        <v>31</v>
      </c>
      <c r="B43" s="30">
        <f>Assumptions!B23</f>
        <v>3200</v>
      </c>
      <c r="C43" s="30">
        <f>Assumptions!B23</f>
        <v>3200</v>
      </c>
      <c r="D43" s="30">
        <f>Assumptions!B23</f>
        <v>3200</v>
      </c>
    </row>
    <row r="44" spans="1:4" ht="13.5" customHeight="1" x14ac:dyDescent="0.2">
      <c r="A44" s="4" t="s">
        <v>56</v>
      </c>
      <c r="B44" s="44">
        <f>B42*1000/B43</f>
        <v>65.4453125</v>
      </c>
      <c r="C44" s="44">
        <f>C42*1000/C43</f>
        <v>155.7421875</v>
      </c>
      <c r="D44" s="44">
        <f>D42*1000/D43</f>
        <v>313.203125</v>
      </c>
    </row>
    <row r="45" spans="1:4" ht="6" customHeight="1" x14ac:dyDescent="0.2"/>
    <row r="46" spans="1:4" ht="13.5" customHeight="1" x14ac:dyDescent="0.2">
      <c r="A46" s="7" t="s">
        <v>65</v>
      </c>
      <c r="B46" s="8"/>
      <c r="C46" s="8"/>
      <c r="D46" s="8"/>
    </row>
    <row r="47" spans="1:4" ht="13.5" customHeight="1" x14ac:dyDescent="0.2">
      <c r="A47" s="37" t="s">
        <v>66</v>
      </c>
      <c r="B47" s="41">
        <f>B3*B38</f>
        <v>34.485000000000007</v>
      </c>
      <c r="C47" s="41">
        <f>C3*C38</f>
        <v>230.6875</v>
      </c>
      <c r="D47" s="41">
        <f>D3*D38</f>
        <v>289.57499999999999</v>
      </c>
    </row>
    <row r="48" spans="1:4" ht="13.5" customHeight="1" x14ac:dyDescent="0.2">
      <c r="A48" s="37" t="s">
        <v>67</v>
      </c>
      <c r="B48" s="41">
        <f>B3*B42</f>
        <v>41.885000000000005</v>
      </c>
      <c r="C48" s="41">
        <f>C3*C42</f>
        <v>249.1875</v>
      </c>
      <c r="D48" s="41">
        <f>D3*D42</f>
        <v>300.67500000000001</v>
      </c>
    </row>
    <row r="49" spans="1:4" ht="13.5" customHeight="1" x14ac:dyDescent="0.2">
      <c r="A49" s="37" t="s">
        <v>68</v>
      </c>
      <c r="B49" s="45">
        <f>B3*B44</f>
        <v>13.089062500000001</v>
      </c>
      <c r="C49" s="45">
        <f>C3*C44</f>
        <v>77.87109375</v>
      </c>
      <c r="D49" s="45">
        <f>D3*D44</f>
        <v>93.9609375</v>
      </c>
    </row>
    <row r="50" spans="1:4" ht="6" customHeight="1" x14ac:dyDescent="0.2"/>
    <row r="51" spans="1:4" ht="13.5" customHeight="1" x14ac:dyDescent="0.2">
      <c r="A51" s="7" t="s">
        <v>69</v>
      </c>
      <c r="B51" s="8"/>
      <c r="C51" s="8"/>
      <c r="D51" s="8"/>
    </row>
    <row r="52" spans="1:4" ht="13.5" customHeight="1" x14ac:dyDescent="0.2">
      <c r="A52" s="4" t="s">
        <v>70</v>
      </c>
      <c r="B52" s="29">
        <f>SUM(B47:D47)</f>
        <v>554.74749999999995</v>
      </c>
    </row>
    <row r="53" spans="1:4" ht="13.5" customHeight="1" x14ac:dyDescent="0.2">
      <c r="A53" s="4" t="s">
        <v>71</v>
      </c>
      <c r="B53" s="29">
        <f>SUM(B48:D48)</f>
        <v>591.74749999999995</v>
      </c>
    </row>
    <row r="54" spans="1:4" ht="13.5" customHeight="1" x14ac:dyDescent="0.2">
      <c r="A54" s="4" t="s">
        <v>72</v>
      </c>
      <c r="B54" s="44">
        <f>SUM(B49:D49)</f>
        <v>184.92109375000001</v>
      </c>
    </row>
    <row r="55" spans="1:4" ht="6" customHeight="1" x14ac:dyDescent="0.2"/>
    <row r="56" spans="1:4" ht="13.5" customHeight="1" x14ac:dyDescent="0.2">
      <c r="A56" s="7" t="s">
        <v>73</v>
      </c>
      <c r="B56" s="8"/>
      <c r="C56" s="8"/>
      <c r="D56" s="8"/>
    </row>
    <row r="57" spans="1:4" ht="27.75" customHeight="1" x14ac:dyDescent="0.2">
      <c r="A57" s="4" t="s">
        <v>58</v>
      </c>
      <c r="B57" s="1" t="s">
        <v>74</v>
      </c>
      <c r="C57" s="1"/>
      <c r="D57" s="1"/>
    </row>
    <row r="58" spans="1:4" ht="27.75" customHeight="1" x14ac:dyDescent="0.2">
      <c r="A58" s="4" t="s">
        <v>59</v>
      </c>
      <c r="B58" s="1" t="s">
        <v>75</v>
      </c>
      <c r="C58" s="1"/>
      <c r="D58" s="1"/>
    </row>
    <row r="59" spans="1:4" ht="27.75" customHeight="1" x14ac:dyDescent="0.2">
      <c r="A59" s="4" t="s">
        <v>60</v>
      </c>
      <c r="B59" s="1" t="s">
        <v>76</v>
      </c>
      <c r="C59" s="1"/>
      <c r="D59" s="1"/>
    </row>
  </sheetData>
  <mergeCells count="3">
    <mergeCell ref="B57:D57"/>
    <mergeCell ref="B58:D58"/>
    <mergeCell ref="B59:D5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Model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 Yuxiao</cp:lastModifiedBy>
  <cp:revision>0</cp:revision>
  <dcterms:created xsi:type="dcterms:W3CDTF">2026-05-13T05:36:56Z</dcterms:created>
  <dcterms:modified xsi:type="dcterms:W3CDTF">2026-05-13T07:59:21Z</dcterms:modified>
  <dc:language>en-US</dc:language>
</cp:coreProperties>
</file>