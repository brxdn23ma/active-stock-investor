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<sst xmlns="http://schemas.openxmlformats.org/spreadsheetml/2006/main" count="116" uniqueCount="77">
  <si>
    <t xml:space="preserve">Tesla Valuation Model — Base Case Assumptions</t>
  </si>
  <si>
    <t xml:space="preserve">Valuation Target Year</t>
  </si>
  <si>
    <t xml:space="preserve">Forward-looking model — not based on current reported figures</t>
  </si>
  <si>
    <t xml:space="preserve">  FLEET &amp; FSD</t>
  </si>
  <si>
    <t xml:space="preserve">Fleet Size (millions)</t>
  </si>
  <si>
    <t xml:space="preserve">Cumulative deliveries through 2028E</t>
  </si>
  <si>
    <t xml:space="preserve">FSD Penetration</t>
  </si>
  <si>
    <t xml:space="preserve">% of fleet on paid FSD subscription</t>
  </si>
  <si>
    <t xml:space="preserve">FSD Price per year ($)</t>
  </si>
  <si>
    <t xml:space="preserve">$99/month × 12 — Tesla current rate (tesla.com)</t>
  </si>
  <si>
    <t xml:space="preserve">FSD Margin</t>
  </si>
  <si>
    <t xml:space="preserve">Software gross margin estimate</t>
  </si>
  <si>
    <t xml:space="preserve">FSD Revenue Multiple</t>
  </si>
  <si>
    <t xml:space="preserve">P/E applied to FSD profit</t>
  </si>
  <si>
    <t xml:space="preserve">  EV SEGMENT</t>
  </si>
  <si>
    <t xml:space="preserve">EV Earnings ($B)</t>
  </si>
  <si>
    <t xml:space="preserve">Forward 2028E target (vs. $3.8B actual 2025)</t>
  </si>
  <si>
    <t xml:space="preserve">EV Multiple</t>
  </si>
  <si>
    <t xml:space="preserve">P/E multiple — conservative for EV leader</t>
  </si>
  <si>
    <t xml:space="preserve">  ROBOTAXI SEGMENT</t>
  </si>
  <si>
    <t xml:space="preserve">Robotaxi Vehicles (millions)</t>
  </si>
  <si>
    <t xml:space="preserve">Speculative 2028E fleet target</t>
  </si>
  <si>
    <t xml:space="preserve">Revenue per Robotaxi ($)</t>
  </si>
  <si>
    <t xml:space="preserve">Annual gross revenue per vehicle</t>
  </si>
  <si>
    <t xml:space="preserve">Take Rate</t>
  </si>
  <si>
    <t xml:space="preserve">Tesla's platform commission</t>
  </si>
  <si>
    <t xml:space="preserve">Robotaxi Margin</t>
  </si>
  <si>
    <t xml:space="preserve">Operating margin on Tesla's net revenue</t>
  </si>
  <si>
    <t xml:space="preserve">Robotaxi Revenue Multiple</t>
  </si>
  <si>
    <t xml:space="preserve">P/E applied to robotaxi profit</t>
  </si>
  <si>
    <t xml:space="preserve">  CAPITAL STRUCTURE  ★ NEW</t>
  </si>
  <si>
    <t xml:space="preserve">Shares Outstanding (millions)</t>
  </si>
  <si>
    <t xml:space="preserve">~3,200M diluted shares (Q1 2026 10-Q)</t>
  </si>
  <si>
    <t xml:space="preserve">Net Cash / (Debt) ($B)</t>
  </si>
  <si>
    <t xml:space="preserve">Cash $36.8B - Debt; Tesla net cash positive</t>
  </si>
  <si>
    <t xml:space="preserve">  COLOR LEGEND</t>
  </si>
  <si>
    <t xml:space="preserve">■</t>
  </si>
  <si>
    <t xml:space="preserve">Blue text — hardcoded input  (change these to sensitise)</t>
  </si>
  <si>
    <t xml:space="preserve">Black text — formula / calculated value</t>
  </si>
  <si>
    <t xml:space="preserve">Green text — cross-sheet reference</t>
  </si>
  <si>
    <t xml:space="preserve">Base Case — Detailed Calculations  (all inputs from Assumptions sheet)</t>
  </si>
  <si>
    <t xml:space="preserve">  FSD SEGMENT</t>
  </si>
  <si>
    <t xml:space="preserve">FSD Users (millions)</t>
  </si>
  <si>
    <t xml:space="preserve">FSD Revenue ($B)</t>
  </si>
  <si>
    <t xml:space="preserve">FSD Profit ($B)</t>
  </si>
  <si>
    <t xml:space="preserve">FSD Valuation ($B)</t>
  </si>
  <si>
    <t xml:space="preserve">EV Valuation ($B)</t>
  </si>
  <si>
    <t xml:space="preserve">Gross Revenue ($B)</t>
  </si>
  <si>
    <t xml:space="preserve">Tesla Share Revenue ($B)</t>
  </si>
  <si>
    <t xml:space="preserve">Robotaxi Profit ($B)</t>
  </si>
  <si>
    <t xml:space="preserve">Robotaxi Valuation ($B)</t>
  </si>
  <si>
    <t xml:space="preserve">  ENTERPRISE VALUE</t>
  </si>
  <si>
    <t xml:space="preserve">Total Enterprise Value ($B)</t>
  </si>
  <si>
    <t xml:space="preserve">  EQUITY BRIDGE  ★ NEW</t>
  </si>
  <si>
    <t xml:space="preserve">Add: Net Cash / (Debt) ($B)</t>
  </si>
  <si>
    <t xml:space="preserve">Equity Value ($B)</t>
  </si>
  <si>
    <t xml:space="preserve">Implied Share Price ($)</t>
  </si>
  <si>
    <t xml:space="preserve">Scenario Analysis — Target Year: 2028</t>
  </si>
  <si>
    <t xml:space="preserve">Bear</t>
  </si>
  <si>
    <t xml:space="preserve">Base</t>
  </si>
  <si>
    <t xml:space="preserve">Bull</t>
  </si>
  <si>
    <t xml:space="preserve">Probability</t>
  </si>
  <si>
    <t xml:space="preserve">  SCENARIO-SPECIFIC ASSUMPTIONS  ★ NEW (replacing flat multipliers)</t>
  </si>
  <si>
    <t xml:space="preserve">EV Earnings Multiple</t>
  </si>
  <si>
    <t xml:space="preserve">  FIXED ASSUMPTIONS  (shared across all scenarios — from Assumptions sheet)</t>
  </si>
  <si>
    <t xml:space="preserve">  PROBABILITY WEIGHTING</t>
  </si>
  <si>
    <t xml:space="preserve">Weighted Enterprise Value ($B)</t>
  </si>
  <si>
    <t xml:space="preserve">Weighted Equity Value ($B)</t>
  </si>
  <si>
    <t xml:space="preserve">Weighted Share Price ($)</t>
  </si>
  <si>
    <t xml:space="preserve">  EXPECTED VALUES  ★ NEW (probability-weighted sum)</t>
  </si>
  <si>
    <t xml:space="preserve">Expected Enterprise Value ($B)</t>
  </si>
  <si>
    <t xml:space="preserve">Expected Equity Value ($B)</t>
  </si>
  <si>
    <t xml:space="preserve">Expected Share Price ($)  ★ NEW</t>
  </si>
  <si>
    <t xml:space="preserve">  SCENARIO RATIONALE</t>
  </si>
  <si>
    <t xml:space="preserve">FSD lags (15% penetration vs 30% base). EV earnings compress to $8B. Multiple contraction as growth disappoints. Robotaxi limited to 0.5M vehicles.</t>
  </si>
  <si>
    <t xml:space="preserve">All assumptions match the Assumptions sheet directly. Moderate FSD growth, stable EV earnings, and robotaxi ramp per plan.</t>
  </si>
  <si>
    <t xml:space="preserve">FSD reaches 50% penetration. EV earnings recover to $18B. Multiple expansion on AI narrative. Robotaxi scales to 4M vehicles.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</si>
</sst>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.0&quot; M&quot;"/>
    <numFmt numFmtId="167" formatCode="0.0%"/>
    <numFmt numFmtId="168" formatCode="\$#,##0"/>
    <numFmt numFmtId="169" formatCode="0.0\x"/>
    <numFmt numFmtId="170" formatCode="#,##0.0&quot; $B&quot;"/>
    <numFmt numFmtId="171" formatCode="#,##0"/>
    <numFmt numFmtId="172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8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FCE4EC"/>
      </patternFill>
    </fill>
    <fill>
      <patternFill patternType="solid">
        <fgColor rgb="FFFFF2CC"/>
        <bgColor rgb="FFFAEEDA"/>
      </patternFill>
    </fill>
    <fill>
      <patternFill patternType="solid">
        <fgColor rgb="FFEEEDFE"/>
        <bgColor rgb="FFE8F5E9"/>
      </patternFill>
    </fill>
    <fill>
      <patternFill patternType="solid">
        <fgColor rgb="FFE1F5EE"/>
        <bgColor rgb="FFE8F5E9"/>
      </patternFill>
    </fill>
    <fill>
      <patternFill patternType="solid">
        <fgColor rgb="FFFAEEDA"/>
        <bgColor rgb="FFFFF2CC"/>
      </patternFill>
    </fill>
    <fill>
      <patternFill patternType="solid">
        <fgColor rgb="FFFFD966"/>
        <bgColor rgb="FFFFCC00"/>
      </patternFill>
    </fill>
    <fill>
      <patternFill patternType="solid">
        <fgColor rgb="FFFCE4EC"/>
        <bgColor rgb="FFFAEEDA"/>
      </patternFill>
    </fill>
    <fill>
      <patternFill patternType="solid">
        <fgColor rgb="FFE8F5E9"/>
        <bgColor rgb="FFE1F5EE"/>
      </patternFill>
    </fill>
    <fill>
      <patternFill patternType="solid">
        <fgColor rgb="FFFFF8E1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E4EC"/>
      <rgbColor rgb="FF888888"/>
      <rgbColor rgb="FF9999FF"/>
      <rgbColor rgb="FF993366"/>
      <rgbColor rgb="FFFFF8E1"/>
      <rgbColor rgb="FFE1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EEDFE"/>
      <rgbColor rgb="FFFFF2CC"/>
      <rgbColor rgb="FFFAEEDA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9.5" hidden="false" customHeight="true" outlineLevel="0" collapsed="false">
      <c r="A1" s="1" t="s">
        <v>0</v>
      </c>
      <c r="B1" s="2"/>
      <c r="C1" s="2"/>
    </row>
    <row r="2" customFormat="false" ht="13.5" hidden="false" customHeight="true" outlineLevel="0" collapsed="false">
      <c r="A2" s="3" t="s">
        <v>1</v>
      </c>
      <c r="B2" s="4" t="n">
        <v>2028</v>
      </c>
      <c r="C2" s="5" t="s">
        <v>2</v>
      </c>
    </row>
    <row r="3" customFormat="false" ht="6" hidden="false" customHeight="true" outlineLevel="0" collapsed="false"/>
    <row r="4" customFormat="false" ht="13.5" hidden="false" customHeight="true" outlineLevel="0" collapsed="false">
      <c r="A4" s="6" t="s">
        <v>3</v>
      </c>
      <c r="B4" s="7"/>
      <c r="C4" s="7"/>
    </row>
    <row r="5" customFormat="false" ht="13.5" hidden="false" customHeight="true" outlineLevel="0" collapsed="false">
      <c r="A5" s="8" t="s">
        <v>4</v>
      </c>
      <c r="B5" s="9" t="n">
        <v>9</v>
      </c>
      <c r="C5" s="5" t="s">
        <v>5</v>
      </c>
    </row>
    <row r="6" customFormat="false" ht="13.5" hidden="false" customHeight="true" outlineLevel="0" collapsed="false">
      <c r="A6" s="8" t="s">
        <v>6</v>
      </c>
      <c r="B6" s="10" t="n">
        <v>0.3</v>
      </c>
      <c r="C6" s="5" t="s">
        <v>7</v>
      </c>
    </row>
    <row r="7" customFormat="false" ht="13.5" hidden="false" customHeight="true" outlineLevel="0" collapsed="false">
      <c r="A7" s="8" t="s">
        <v>8</v>
      </c>
      <c r="B7" s="11" t="n">
        <v>1200</v>
      </c>
      <c r="C7" s="5" t="s">
        <v>9</v>
      </c>
    </row>
    <row r="8" customFormat="false" ht="13.5" hidden="false" customHeight="true" outlineLevel="0" collapsed="false">
      <c r="A8" s="8" t="s">
        <v>10</v>
      </c>
      <c r="B8" s="10" t="n">
        <v>0.75</v>
      </c>
      <c r="C8" s="5" t="s">
        <v>11</v>
      </c>
    </row>
    <row r="9" customFormat="false" ht="13.5" hidden="false" customHeight="true" outlineLevel="0" collapsed="false">
      <c r="A9" s="8" t="s">
        <v>12</v>
      </c>
      <c r="B9" s="12" t="n">
        <v>25</v>
      </c>
      <c r="C9" s="5" t="s">
        <v>13</v>
      </c>
    </row>
    <row r="10" customFormat="false" ht="6" hidden="false" customHeight="true" outlineLevel="0" collapsed="false"/>
    <row r="11" customFormat="false" ht="13.5" hidden="false" customHeight="true" outlineLevel="0" collapsed="false">
      <c r="A11" s="6" t="s">
        <v>14</v>
      </c>
      <c r="B11" s="7"/>
      <c r="C11" s="7"/>
    </row>
    <row r="12" customFormat="false" ht="13.5" hidden="false" customHeight="true" outlineLevel="0" collapsed="false">
      <c r="A12" s="8" t="s">
        <v>15</v>
      </c>
      <c r="B12" s="13" t="n">
        <v>13</v>
      </c>
      <c r="C12" s="5" t="s">
        <v>16</v>
      </c>
    </row>
    <row r="13" customFormat="false" ht="13.5" hidden="false" customHeight="true" outlineLevel="0" collapsed="false">
      <c r="A13" s="8" t="s">
        <v>17</v>
      </c>
      <c r="B13" s="12" t="n">
        <v>20</v>
      </c>
      <c r="C13" s="5" t="s">
        <v>18</v>
      </c>
    </row>
    <row r="14" customFormat="false" ht="6" hidden="false" customHeight="true" outlineLevel="0" collapsed="false"/>
    <row r="15" customFormat="false" ht="13.5" hidden="false" customHeight="true" outlineLevel="0" collapsed="false">
      <c r="A15" s="6" t="s">
        <v>19</v>
      </c>
      <c r="B15" s="7"/>
      <c r="C15" s="7"/>
    </row>
    <row r="16" customFormat="false" ht="13.5" hidden="false" customHeight="true" outlineLevel="0" collapsed="false">
      <c r="A16" s="8" t="s">
        <v>20</v>
      </c>
      <c r="B16" s="9" t="n">
        <v>2</v>
      </c>
      <c r="C16" s="5" t="s">
        <v>21</v>
      </c>
    </row>
    <row r="17" customFormat="false" ht="13.5" hidden="false" customHeight="true" outlineLevel="0" collapsed="false">
      <c r="A17" s="8" t="s">
        <v>22</v>
      </c>
      <c r="B17" s="11" t="n">
        <v>25000</v>
      </c>
      <c r="C17" s="5" t="s">
        <v>23</v>
      </c>
    </row>
    <row r="18" customFormat="false" ht="13.5" hidden="false" customHeight="true" outlineLevel="0" collapsed="false">
      <c r="A18" s="8" t="s">
        <v>24</v>
      </c>
      <c r="B18" s="10" t="n">
        <v>0.25</v>
      </c>
      <c r="C18" s="5" t="s">
        <v>25</v>
      </c>
    </row>
    <row r="19" customFormat="false" ht="13.5" hidden="false" customHeight="true" outlineLevel="0" collapsed="false">
      <c r="A19" s="8" t="s">
        <v>26</v>
      </c>
      <c r="B19" s="10" t="n">
        <v>0.45</v>
      </c>
      <c r="C19" s="5" t="s">
        <v>27</v>
      </c>
    </row>
    <row r="20" customFormat="false" ht="13.5" hidden="false" customHeight="true" outlineLevel="0" collapsed="false">
      <c r="A20" s="8" t="s">
        <v>28</v>
      </c>
      <c r="B20" s="12" t="n">
        <v>25</v>
      </c>
      <c r="C20" s="5" t="s">
        <v>29</v>
      </c>
    </row>
    <row r="21" customFormat="false" ht="6" hidden="false" customHeight="true" outlineLevel="0" collapsed="false"/>
    <row r="22" customFormat="false" ht="13.5" hidden="false" customHeight="true" outlineLevel="0" collapsed="false">
      <c r="A22" s="14" t="s">
        <v>30</v>
      </c>
      <c r="B22" s="15"/>
      <c r="C22" s="15"/>
    </row>
    <row r="23" customFormat="false" ht="13.5" hidden="false" customHeight="true" outlineLevel="0" collapsed="false">
      <c r="A23" s="8" t="s">
        <v>31</v>
      </c>
      <c r="B23" s="16" t="n">
        <v>3200</v>
      </c>
      <c r="C23" s="5" t="s">
        <v>32</v>
      </c>
    </row>
    <row r="24" customFormat="false" ht="13.5" hidden="false" customHeight="true" outlineLevel="0" collapsed="false">
      <c r="A24" s="8" t="s">
        <v>33</v>
      </c>
      <c r="B24" s="13" t="n">
        <v>37</v>
      </c>
      <c r="C24" s="5" t="s">
        <v>34</v>
      </c>
    </row>
    <row r="25" customFormat="false" ht="6" hidden="false" customHeight="true" outlineLevel="0" collapsed="false"/>
    <row r="26" customFormat="false" ht="13.5" hidden="false" customHeight="true" outlineLevel="0" collapsed="false">
      <c r="A26" s="6" t="s">
        <v>35</v>
      </c>
      <c r="B26" s="7"/>
      <c r="C26" s="7"/>
    </row>
    <row r="27" customFormat="false" ht="12.75" hidden="false" customHeight="true" outlineLevel="0" collapsed="false">
      <c r="A27" s="17" t="s">
        <v>36</v>
      </c>
      <c r="B27" s="8" t="s">
        <v>37</v>
      </c>
    </row>
    <row r="28" customFormat="false" ht="12.75" hidden="false" customHeight="true" outlineLevel="0" collapsed="false">
      <c r="A28" s="18" t="s">
        <v>36</v>
      </c>
      <c r="B28" s="8" t="s">
        <v>38</v>
      </c>
    </row>
    <row r="29" customFormat="false" ht="12.75" hidden="false" customHeight="true" outlineLevel="0" collapsed="false">
      <c r="A29" s="19" t="s">
        <v>36</v>
      </c>
      <c r="B29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9.5" hidden="false" customHeight="true" outlineLevel="0" collapsed="false">
      <c r="A1" s="1" t="s">
        <v>40</v>
      </c>
      <c r="B1" s="2"/>
    </row>
    <row r="2" customFormat="false" ht="13.5" hidden="false" customHeight="true" outlineLevel="0" collapsed="false">
      <c r="A2" s="20" t="s">
        <v>41</v>
      </c>
      <c r="B2" s="21"/>
    </row>
    <row r="3" customFormat="false" ht="13.5" hidden="false" customHeight="true" outlineLevel="0" collapsed="false">
      <c r="A3" s="8" t="s">
        <v>42</v>
      </c>
      <c r="B3" s="22" t="n">
        <f aca="false">Assumptions!B5*Assumptions!B6</f>
        <v>2.7</v>
      </c>
    </row>
    <row r="4" customFormat="false" ht="13.5" hidden="false" customHeight="true" outlineLevel="0" collapsed="false">
      <c r="A4" s="8" t="s">
        <v>43</v>
      </c>
      <c r="B4" s="23" t="n">
        <f aca="false">B3*Assumptions!B7/1000</f>
        <v>3.24</v>
      </c>
    </row>
    <row r="5" customFormat="false" ht="13.5" hidden="false" customHeight="true" outlineLevel="0" collapsed="false">
      <c r="A5" s="8" t="s">
        <v>44</v>
      </c>
      <c r="B5" s="23" t="n">
        <f aca="false">B4*Assumptions!B8</f>
        <v>2.43</v>
      </c>
    </row>
    <row r="6" customFormat="false" ht="13.5" hidden="false" customHeight="true" outlineLevel="0" collapsed="false">
      <c r="A6" s="8" t="s">
        <v>45</v>
      </c>
      <c r="B6" s="23" t="n">
        <f aca="false">B5*Assumptions!B9</f>
        <v>60.75</v>
      </c>
    </row>
    <row r="7" customFormat="false" ht="6" hidden="false" customHeight="true" outlineLevel="0" collapsed="false"/>
    <row r="8" customFormat="false" ht="13.5" hidden="false" customHeight="true" outlineLevel="0" collapsed="false">
      <c r="A8" s="24" t="s">
        <v>14</v>
      </c>
      <c r="B8" s="25"/>
    </row>
    <row r="9" customFormat="false" ht="13.5" hidden="false" customHeight="true" outlineLevel="0" collapsed="false">
      <c r="A9" s="8" t="s">
        <v>46</v>
      </c>
      <c r="B9" s="23" t="n">
        <f aca="false">Assumptions!B12*Assumptions!B13</f>
        <v>260</v>
      </c>
    </row>
    <row r="10" customFormat="false" ht="6" hidden="false" customHeight="true" outlineLevel="0" collapsed="false"/>
    <row r="11" customFormat="false" ht="13.5" hidden="false" customHeight="true" outlineLevel="0" collapsed="false">
      <c r="A11" s="26" t="s">
        <v>19</v>
      </c>
      <c r="B11" s="27"/>
    </row>
    <row r="12" customFormat="false" ht="13.5" hidden="false" customHeight="true" outlineLevel="0" collapsed="false">
      <c r="A12" s="8" t="s">
        <v>47</v>
      </c>
      <c r="B12" s="23" t="n">
        <f aca="false">Assumptions!B16*Assumptions!B17/1000</f>
        <v>50</v>
      </c>
    </row>
    <row r="13" customFormat="false" ht="13.5" hidden="false" customHeight="true" outlineLevel="0" collapsed="false">
      <c r="A13" s="8" t="s">
        <v>48</v>
      </c>
      <c r="B13" s="23" t="n">
        <f aca="false">B12*Assumptions!B18</f>
        <v>12.5</v>
      </c>
    </row>
    <row r="14" customFormat="false" ht="13.5" hidden="false" customHeight="true" outlineLevel="0" collapsed="false">
      <c r="A14" s="8" t="s">
        <v>49</v>
      </c>
      <c r="B14" s="23" t="n">
        <f aca="false">B13*Assumptions!B19</f>
        <v>5.625</v>
      </c>
    </row>
    <row r="15" customFormat="false" ht="13.5" hidden="false" customHeight="true" outlineLevel="0" collapsed="false">
      <c r="A15" s="8" t="s">
        <v>50</v>
      </c>
      <c r="B15" s="23" t="n">
        <f aca="false">B14*Assumptions!B20</f>
        <v>140.625</v>
      </c>
    </row>
    <row r="16" customFormat="false" ht="6" hidden="false" customHeight="true" outlineLevel="0" collapsed="false"/>
    <row r="17" customFormat="false" ht="13.5" hidden="false" customHeight="true" outlineLevel="0" collapsed="false">
      <c r="A17" s="6" t="s">
        <v>51</v>
      </c>
      <c r="B17" s="7"/>
    </row>
    <row r="18" customFormat="false" ht="13.5" hidden="false" customHeight="true" outlineLevel="0" collapsed="false">
      <c r="A18" s="3" t="s">
        <v>52</v>
      </c>
      <c r="B18" s="28" t="n">
        <f aca="false">B6+B9+B15</f>
        <v>461.375</v>
      </c>
    </row>
    <row r="19" customFormat="false" ht="6" hidden="false" customHeight="true" outlineLevel="0" collapsed="false"/>
    <row r="20" customFormat="false" ht="13.5" hidden="false" customHeight="true" outlineLevel="0" collapsed="false">
      <c r="A20" s="14" t="s">
        <v>53</v>
      </c>
      <c r="B20" s="15"/>
    </row>
    <row r="21" customFormat="false" ht="13.5" hidden="false" customHeight="true" outlineLevel="0" collapsed="false">
      <c r="A21" s="8" t="s">
        <v>54</v>
      </c>
      <c r="B21" s="23" t="n">
        <f aca="false">Assumptions!B24</f>
        <v>37</v>
      </c>
    </row>
    <row r="22" customFormat="false" ht="13.5" hidden="false" customHeight="true" outlineLevel="0" collapsed="false">
      <c r="A22" s="8" t="s">
        <v>55</v>
      </c>
      <c r="B22" s="23" t="n">
        <f aca="false">B18+B21</f>
        <v>498.375</v>
      </c>
    </row>
    <row r="23" customFormat="false" ht="13.5" hidden="false" customHeight="true" outlineLevel="0" collapsed="false">
      <c r="A23" s="8" t="s">
        <v>31</v>
      </c>
      <c r="B23" s="29" t="n">
        <f aca="false">Assumptions!B23</f>
        <v>3200</v>
      </c>
    </row>
    <row r="24" customFormat="false" ht="13.5" hidden="false" customHeight="true" outlineLevel="0" collapsed="false">
      <c r="A24" s="3" t="s">
        <v>56</v>
      </c>
      <c r="B24" s="30" t="n">
        <f aca="false">B22*1000/B23</f>
        <v>155.7421875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8"/>
  </cols>
  <sheetData>
    <row r="1" customFormat="false" ht="19.5" hidden="false" customHeight="true" outlineLevel="0" collapsed="false">
      <c r="A1" s="1" t="s">
        <v>57</v>
      </c>
      <c r="B1" s="2"/>
      <c r="C1" s="2"/>
      <c r="D1" s="2"/>
    </row>
    <row r="2" customFormat="false" ht="15.75" hidden="false" customHeight="true" outlineLevel="0" collapsed="false">
      <c r="A2" s="31"/>
      <c r="B2" s="32" t="s">
        <v>58</v>
      </c>
      <c r="C2" s="33" t="s">
        <v>59</v>
      </c>
      <c r="D2" s="34" t="s">
        <v>60</v>
      </c>
    </row>
    <row r="3" customFormat="false" ht="13.5" hidden="false" customHeight="true" outlineLevel="0" collapsed="false">
      <c r="A3" s="3" t="s">
        <v>61</v>
      </c>
      <c r="B3" s="10" t="n">
        <v>0.2</v>
      </c>
      <c r="C3" s="10" t="n">
        <v>0.5</v>
      </c>
      <c r="D3" s="10" t="n">
        <v>0.3</v>
      </c>
    </row>
    <row r="4" customFormat="false" ht="13.5" hidden="false" customHeight="true" outlineLevel="0" collapsed="false">
      <c r="A4" s="8" t="s">
        <v>1</v>
      </c>
      <c r="B4" s="35" t="n">
        <f aca="false">Assumptions!B2</f>
        <v>2028</v>
      </c>
      <c r="C4" s="35" t="n">
        <f aca="false">Assumptions!B2</f>
        <v>2028</v>
      </c>
      <c r="D4" s="35" t="n">
        <f aca="false">Assumptions!B2</f>
        <v>2028</v>
      </c>
    </row>
    <row r="5" customFormat="false" ht="6" hidden="false" customHeight="true" outlineLevel="0" collapsed="false"/>
    <row r="6" customFormat="false" ht="13.5" hidden="false" customHeight="true" outlineLevel="0" collapsed="false">
      <c r="A6" s="6" t="s">
        <v>62</v>
      </c>
      <c r="B6" s="7"/>
      <c r="C6" s="7"/>
      <c r="D6" s="7"/>
    </row>
    <row r="7" customFormat="false" ht="13.5" hidden="false" customHeight="true" outlineLevel="0" collapsed="false">
      <c r="A7" s="36" t="s">
        <v>6</v>
      </c>
      <c r="B7" s="10" t="n">
        <v>0.15</v>
      </c>
      <c r="C7" s="10" t="n">
        <v>0.3</v>
      </c>
      <c r="D7" s="10" t="n">
        <v>0.5</v>
      </c>
    </row>
    <row r="8" customFormat="false" ht="13.5" hidden="false" customHeight="true" outlineLevel="0" collapsed="false">
      <c r="A8" s="36" t="s">
        <v>15</v>
      </c>
      <c r="B8" s="13" t="n">
        <v>8</v>
      </c>
      <c r="C8" s="13" t="n">
        <v>13</v>
      </c>
      <c r="D8" s="13" t="n">
        <v>18</v>
      </c>
    </row>
    <row r="9" customFormat="false" ht="13.5" hidden="false" customHeight="true" outlineLevel="0" collapsed="false">
      <c r="A9" s="36" t="s">
        <v>12</v>
      </c>
      <c r="B9" s="12" t="n">
        <v>20</v>
      </c>
      <c r="C9" s="12" t="n">
        <v>25</v>
      </c>
      <c r="D9" s="12" t="n">
        <v>30</v>
      </c>
    </row>
    <row r="10" customFormat="false" ht="13.5" hidden="false" customHeight="true" outlineLevel="0" collapsed="false">
      <c r="A10" s="36" t="s">
        <v>63</v>
      </c>
      <c r="B10" s="12" t="n">
        <v>15</v>
      </c>
      <c r="C10" s="12" t="n">
        <v>20</v>
      </c>
      <c r="D10" s="12" t="n">
        <v>25</v>
      </c>
    </row>
    <row r="11" customFormat="false" ht="13.5" hidden="false" customHeight="true" outlineLevel="0" collapsed="false">
      <c r="A11" s="36" t="s">
        <v>20</v>
      </c>
      <c r="B11" s="9" t="n">
        <v>0.5</v>
      </c>
      <c r="C11" s="9" t="n">
        <v>2</v>
      </c>
      <c r="D11" s="9" t="n">
        <v>4</v>
      </c>
    </row>
    <row r="12" customFormat="false" ht="13.5" hidden="false" customHeight="true" outlineLevel="0" collapsed="false">
      <c r="A12" s="36" t="s">
        <v>28</v>
      </c>
      <c r="B12" s="12" t="n">
        <v>20</v>
      </c>
      <c r="C12" s="12" t="n">
        <v>25</v>
      </c>
      <c r="D12" s="12" t="n">
        <v>35</v>
      </c>
    </row>
    <row r="13" customFormat="false" ht="6" hidden="false" customHeight="true" outlineLevel="0" collapsed="false"/>
    <row r="14" customFormat="false" ht="13.5" hidden="false" customHeight="true" outlineLevel="0" collapsed="false">
      <c r="A14" s="6" t="s">
        <v>64</v>
      </c>
      <c r="B14" s="7"/>
      <c r="C14" s="7"/>
      <c r="D14" s="7"/>
    </row>
    <row r="15" customFormat="false" ht="13.5" hidden="false" customHeight="true" outlineLevel="0" collapsed="false">
      <c r="A15" s="36" t="s">
        <v>4</v>
      </c>
      <c r="B15" s="22" t="n">
        <f aca="false">Assumptions!B5</f>
        <v>9</v>
      </c>
      <c r="C15" s="22" t="n">
        <f aca="false">Assumptions!B5</f>
        <v>9</v>
      </c>
      <c r="D15" s="22" t="n">
        <f aca="false">Assumptions!B5</f>
        <v>9</v>
      </c>
    </row>
    <row r="16" customFormat="false" ht="13.5" hidden="false" customHeight="true" outlineLevel="0" collapsed="false">
      <c r="A16" s="36" t="s">
        <v>8</v>
      </c>
      <c r="B16" s="37" t="n">
        <f aca="false">Assumptions!B7</f>
        <v>1200</v>
      </c>
      <c r="C16" s="37" t="n">
        <f aca="false">Assumptions!B7</f>
        <v>1200</v>
      </c>
      <c r="D16" s="37" t="n">
        <f aca="false">Assumptions!B7</f>
        <v>1200</v>
      </c>
    </row>
    <row r="17" customFormat="false" ht="13.5" hidden="false" customHeight="true" outlineLevel="0" collapsed="false">
      <c r="A17" s="36" t="s">
        <v>10</v>
      </c>
      <c r="B17" s="38" t="n">
        <f aca="false">Assumptions!B8</f>
        <v>0.75</v>
      </c>
      <c r="C17" s="38" t="n">
        <f aca="false">Assumptions!B8</f>
        <v>0.75</v>
      </c>
      <c r="D17" s="38" t="n">
        <f aca="false">Assumptions!B8</f>
        <v>0.75</v>
      </c>
    </row>
    <row r="18" customFormat="false" ht="13.5" hidden="false" customHeight="true" outlineLevel="0" collapsed="false">
      <c r="A18" s="36" t="s">
        <v>22</v>
      </c>
      <c r="B18" s="37" t="n">
        <f aca="false">Assumptions!B17</f>
        <v>25000</v>
      </c>
      <c r="C18" s="37" t="n">
        <f aca="false">Assumptions!B17</f>
        <v>25000</v>
      </c>
      <c r="D18" s="37" t="n">
        <f aca="false">Assumptions!B17</f>
        <v>25000</v>
      </c>
    </row>
    <row r="19" customFormat="false" ht="13.5" hidden="false" customHeight="true" outlineLevel="0" collapsed="false">
      <c r="A19" s="36" t="s">
        <v>24</v>
      </c>
      <c r="B19" s="38" t="n">
        <f aca="false">Assumptions!B18</f>
        <v>0.25</v>
      </c>
      <c r="C19" s="38" t="n">
        <f aca="false">Assumptions!B18</f>
        <v>0.25</v>
      </c>
      <c r="D19" s="38" t="n">
        <f aca="false">Assumptions!B18</f>
        <v>0.25</v>
      </c>
    </row>
    <row r="20" customFormat="false" ht="13.5" hidden="false" customHeight="true" outlineLevel="0" collapsed="false">
      <c r="A20" s="36" t="s">
        <v>26</v>
      </c>
      <c r="B20" s="38" t="n">
        <f aca="false">Assumptions!B19</f>
        <v>0.45</v>
      </c>
      <c r="C20" s="38" t="n">
        <f aca="false">Assumptions!B19</f>
        <v>0.45</v>
      </c>
      <c r="D20" s="38" t="n">
        <f aca="false">Assumptions!B19</f>
        <v>0.45</v>
      </c>
    </row>
    <row r="21" customFormat="false" ht="6" hidden="false" customHeight="true" outlineLevel="0" collapsed="false"/>
    <row r="22" customFormat="false" ht="13.5" hidden="false" customHeight="true" outlineLevel="0" collapsed="false">
      <c r="A22" s="20" t="s">
        <v>41</v>
      </c>
      <c r="B22" s="21"/>
      <c r="C22" s="21"/>
      <c r="D22" s="21"/>
    </row>
    <row r="23" customFormat="false" ht="13.5" hidden="false" customHeight="true" outlineLevel="0" collapsed="false">
      <c r="A23" s="36" t="s">
        <v>42</v>
      </c>
      <c r="B23" s="39" t="n">
        <f aca="false">B15*B7</f>
        <v>1.35</v>
      </c>
      <c r="C23" s="39" t="n">
        <f aca="false">C15*C7</f>
        <v>2.7</v>
      </c>
      <c r="D23" s="39" t="n">
        <f aca="false">D15*D7</f>
        <v>4.5</v>
      </c>
    </row>
    <row r="24" customFormat="false" ht="13.5" hidden="false" customHeight="true" outlineLevel="0" collapsed="false">
      <c r="A24" s="36" t="s">
        <v>43</v>
      </c>
      <c r="B24" s="40" t="n">
        <f aca="false">B23*B16/1000</f>
        <v>1.62</v>
      </c>
      <c r="C24" s="40" t="n">
        <f aca="false">C23*C16/1000</f>
        <v>3.24</v>
      </c>
      <c r="D24" s="40" t="n">
        <f aca="false">D23*D16/1000</f>
        <v>5.4</v>
      </c>
    </row>
    <row r="25" customFormat="false" ht="13.5" hidden="false" customHeight="true" outlineLevel="0" collapsed="false">
      <c r="A25" s="36" t="s">
        <v>44</v>
      </c>
      <c r="B25" s="40" t="n">
        <f aca="false">B24*B17</f>
        <v>1.215</v>
      </c>
      <c r="C25" s="40" t="n">
        <f aca="false">C24*C17</f>
        <v>2.43</v>
      </c>
      <c r="D25" s="40" t="n">
        <f aca="false">D24*D17</f>
        <v>4.05</v>
      </c>
    </row>
    <row r="26" customFormat="false" ht="13.5" hidden="false" customHeight="true" outlineLevel="0" collapsed="false">
      <c r="A26" s="41" t="s">
        <v>45</v>
      </c>
      <c r="B26" s="42" t="n">
        <f aca="false">B25*B9</f>
        <v>24.3</v>
      </c>
      <c r="C26" s="42" t="n">
        <f aca="false">C25*C9</f>
        <v>60.75</v>
      </c>
      <c r="D26" s="42" t="n">
        <f aca="false">D25*D9</f>
        <v>121.5</v>
      </c>
    </row>
    <row r="27" customFormat="false" ht="6" hidden="false" customHeight="true" outlineLevel="0" collapsed="false"/>
    <row r="28" customFormat="false" ht="13.5" hidden="false" customHeight="true" outlineLevel="0" collapsed="false">
      <c r="A28" s="24" t="s">
        <v>14</v>
      </c>
      <c r="B28" s="25"/>
      <c r="C28" s="25"/>
      <c r="D28" s="25"/>
    </row>
    <row r="29" customFormat="false" ht="13.5" hidden="false" customHeight="true" outlineLevel="0" collapsed="false">
      <c r="A29" s="41" t="s">
        <v>46</v>
      </c>
      <c r="B29" s="42" t="n">
        <f aca="false">B8*B10</f>
        <v>120</v>
      </c>
      <c r="C29" s="42" t="n">
        <f aca="false">C8*C10</f>
        <v>260</v>
      </c>
      <c r="D29" s="42" t="n">
        <f aca="false">D8*D10</f>
        <v>450</v>
      </c>
    </row>
    <row r="30" customFormat="false" ht="6" hidden="false" customHeight="true" outlineLevel="0" collapsed="false"/>
    <row r="31" customFormat="false" ht="13.5" hidden="false" customHeight="true" outlineLevel="0" collapsed="false">
      <c r="A31" s="26" t="s">
        <v>19</v>
      </c>
      <c r="B31" s="27"/>
      <c r="C31" s="27"/>
      <c r="D31" s="27"/>
    </row>
    <row r="32" customFormat="false" ht="13.5" hidden="false" customHeight="true" outlineLevel="0" collapsed="false">
      <c r="A32" s="36" t="s">
        <v>47</v>
      </c>
      <c r="B32" s="40" t="n">
        <f aca="false">B11*B18/1000</f>
        <v>12.5</v>
      </c>
      <c r="C32" s="40" t="n">
        <f aca="false">C11*C18/1000</f>
        <v>50</v>
      </c>
      <c r="D32" s="40" t="n">
        <f aca="false">D11*D18/1000</f>
        <v>100</v>
      </c>
    </row>
    <row r="33" customFormat="false" ht="13.5" hidden="false" customHeight="true" outlineLevel="0" collapsed="false">
      <c r="A33" s="36" t="s">
        <v>48</v>
      </c>
      <c r="B33" s="40" t="n">
        <f aca="false">B32*B19</f>
        <v>3.125</v>
      </c>
      <c r="C33" s="40" t="n">
        <f aca="false">C32*C19</f>
        <v>12.5</v>
      </c>
      <c r="D33" s="40" t="n">
        <f aca="false">D32*D19</f>
        <v>25</v>
      </c>
    </row>
    <row r="34" customFormat="false" ht="13.5" hidden="false" customHeight="true" outlineLevel="0" collapsed="false">
      <c r="A34" s="36" t="s">
        <v>49</v>
      </c>
      <c r="B34" s="40" t="n">
        <f aca="false">B33*B20</f>
        <v>1.40625</v>
      </c>
      <c r="C34" s="40" t="n">
        <f aca="false">C33*C20</f>
        <v>5.625</v>
      </c>
      <c r="D34" s="40" t="n">
        <f aca="false">D33*D20</f>
        <v>11.25</v>
      </c>
    </row>
    <row r="35" customFormat="false" ht="13.5" hidden="false" customHeight="true" outlineLevel="0" collapsed="false">
      <c r="A35" s="41" t="s">
        <v>50</v>
      </c>
      <c r="B35" s="42" t="n">
        <f aca="false">B34*B12</f>
        <v>28.125</v>
      </c>
      <c r="C35" s="42" t="n">
        <f aca="false">C34*C12</f>
        <v>140.625</v>
      </c>
      <c r="D35" s="42" t="n">
        <f aca="false">D34*D12</f>
        <v>393.75</v>
      </c>
    </row>
    <row r="36" customFormat="false" ht="6" hidden="false" customHeight="true" outlineLevel="0" collapsed="false"/>
    <row r="37" customFormat="false" ht="13.5" hidden="false" customHeight="true" outlineLevel="0" collapsed="false">
      <c r="A37" s="6" t="s">
        <v>51</v>
      </c>
      <c r="B37" s="7"/>
      <c r="C37" s="7"/>
      <c r="D37" s="7"/>
    </row>
    <row r="38" customFormat="false" ht="13.5" hidden="false" customHeight="true" outlineLevel="0" collapsed="false">
      <c r="A38" s="3" t="s">
        <v>52</v>
      </c>
      <c r="B38" s="28" t="n">
        <f aca="false">B26+B29+B35</f>
        <v>172.425</v>
      </c>
      <c r="C38" s="28" t="n">
        <f aca="false">C26+C29+C35</f>
        <v>461.375</v>
      </c>
      <c r="D38" s="28" t="n">
        <f aca="false">D26+D29+D35</f>
        <v>965.25</v>
      </c>
    </row>
    <row r="39" customFormat="false" ht="6" hidden="false" customHeight="true" outlineLevel="0" collapsed="false"/>
    <row r="40" customFormat="false" ht="13.5" hidden="false" customHeight="true" outlineLevel="0" collapsed="false">
      <c r="A40" s="14" t="s">
        <v>53</v>
      </c>
      <c r="B40" s="15"/>
      <c r="C40" s="15"/>
      <c r="D40" s="15"/>
    </row>
    <row r="41" customFormat="false" ht="13.5" hidden="false" customHeight="true" outlineLevel="0" collapsed="false">
      <c r="A41" s="36" t="s">
        <v>54</v>
      </c>
      <c r="B41" s="23" t="n">
        <f aca="false">Assumptions!B24</f>
        <v>37</v>
      </c>
      <c r="C41" s="23" t="n">
        <f aca="false">Assumptions!B24</f>
        <v>37</v>
      </c>
      <c r="D41" s="23" t="n">
        <f aca="false">Assumptions!B24</f>
        <v>37</v>
      </c>
    </row>
    <row r="42" customFormat="false" ht="13.5" hidden="false" customHeight="true" outlineLevel="0" collapsed="false">
      <c r="A42" s="41" t="s">
        <v>55</v>
      </c>
      <c r="B42" s="42" t="n">
        <f aca="false">B38+B41</f>
        <v>209.425</v>
      </c>
      <c r="C42" s="42" t="n">
        <f aca="false">C38+C41</f>
        <v>498.375</v>
      </c>
      <c r="D42" s="42" t="n">
        <f aca="false">D38+D41</f>
        <v>1002.25</v>
      </c>
    </row>
    <row r="43" customFormat="false" ht="13.5" hidden="false" customHeight="true" outlineLevel="0" collapsed="false">
      <c r="A43" s="36" t="s">
        <v>31</v>
      </c>
      <c r="B43" s="29" t="n">
        <f aca="false">Assumptions!B23</f>
        <v>3200</v>
      </c>
      <c r="C43" s="29" t="n">
        <f aca="false">Assumptions!B23</f>
        <v>3200</v>
      </c>
      <c r="D43" s="29" t="n">
        <f aca="false">Assumptions!B23</f>
        <v>3200</v>
      </c>
    </row>
    <row r="44" customFormat="false" ht="13.5" hidden="false" customHeight="true" outlineLevel="0" collapsed="false">
      <c r="A44" s="3" t="s">
        <v>56</v>
      </c>
      <c r="B44" s="43" t="n">
        <f aca="false">B42*1000/B43</f>
        <v>65.4453125</v>
      </c>
      <c r="C44" s="43" t="n">
        <f aca="false">C42*1000/C43</f>
        <v>155.7421875</v>
      </c>
      <c r="D44" s="43" t="n">
        <f aca="false">D42*1000/D43</f>
        <v>313.203125</v>
      </c>
    </row>
    <row r="45" customFormat="false" ht="6" hidden="false" customHeight="true" outlineLevel="0" collapsed="false"/>
    <row r="46" customFormat="false" ht="13.5" hidden="false" customHeight="true" outlineLevel="0" collapsed="false">
      <c r="A46" s="6" t="s">
        <v>65</v>
      </c>
      <c r="B46" s="7"/>
      <c r="C46" s="7"/>
      <c r="D46" s="7"/>
    </row>
    <row r="47" customFormat="false" ht="13.5" hidden="false" customHeight="true" outlineLevel="0" collapsed="false">
      <c r="A47" s="36" t="s">
        <v>66</v>
      </c>
      <c r="B47" s="40" t="n">
        <f aca="false">B3*B38</f>
        <v>34.485</v>
      </c>
      <c r="C47" s="40" t="n">
        <f aca="false">C3*C38</f>
        <v>230.6875</v>
      </c>
      <c r="D47" s="40" t="n">
        <f aca="false">D3*D38</f>
        <v>289.575</v>
      </c>
    </row>
    <row r="48" customFormat="false" ht="13.5" hidden="false" customHeight="true" outlineLevel="0" collapsed="false">
      <c r="A48" s="36" t="s">
        <v>67</v>
      </c>
      <c r="B48" s="40" t="n">
        <f aca="false">B3*B42</f>
        <v>41.885</v>
      </c>
      <c r="C48" s="40" t="n">
        <f aca="false">C3*C42</f>
        <v>249.1875</v>
      </c>
      <c r="D48" s="40" t="n">
        <f aca="false">D3*D42</f>
        <v>300.675</v>
      </c>
    </row>
    <row r="49" customFormat="false" ht="13.5" hidden="false" customHeight="true" outlineLevel="0" collapsed="false">
      <c r="A49" s="36" t="s">
        <v>68</v>
      </c>
      <c r="B49" s="44" t="n">
        <f aca="false">B3*B44</f>
        <v>13.0890625</v>
      </c>
      <c r="C49" s="44" t="n">
        <f aca="false">C3*C44</f>
        <v>77.87109375</v>
      </c>
      <c r="D49" s="44" t="n">
        <f aca="false">D3*D44</f>
        <v>93.9609375</v>
      </c>
    </row>
    <row r="50" customFormat="false" ht="6" hidden="false" customHeight="true" outlineLevel="0" collapsed="false"/>
    <row r="51" customFormat="false" ht="13.5" hidden="false" customHeight="true" outlineLevel="0" collapsed="false">
      <c r="A51" s="6" t="s">
        <v>69</v>
      </c>
      <c r="B51" s="7"/>
      <c r="C51" s="7"/>
      <c r="D51" s="7"/>
    </row>
    <row r="52" customFormat="false" ht="13.5" hidden="false" customHeight="true" outlineLevel="0" collapsed="false">
      <c r="A52" s="3" t="s">
        <v>70</v>
      </c>
      <c r="B52" s="28" t="n">
        <f aca="false">SUM(B47:D47)</f>
        <v>554.7475</v>
      </c>
    </row>
    <row r="53" customFormat="false" ht="13.5" hidden="false" customHeight="true" outlineLevel="0" collapsed="false">
      <c r="A53" s="3" t="s">
        <v>71</v>
      </c>
      <c r="B53" s="28" t="n">
        <f aca="false">SUM(B48:D48)</f>
        <v>591.7475</v>
      </c>
    </row>
    <row r="54" customFormat="false" ht="13.5" hidden="false" customHeight="true" outlineLevel="0" collapsed="false">
      <c r="A54" s="3" t="s">
        <v>72</v>
      </c>
      <c r="B54" s="43" t="n">
        <f aca="false">SUM(B49:D49)</f>
        <v>184.92109375</v>
      </c>
    </row>
    <row r="55" customFormat="false" ht="6" hidden="false" customHeight="true" outlineLevel="0" collapsed="false"/>
    <row r="56" customFormat="false" ht="13.5" hidden="false" customHeight="true" outlineLevel="0" collapsed="false">
      <c r="A56" s="6" t="s">
        <v>73</v>
      </c>
      <c r="B56" s="7"/>
      <c r="C56" s="7"/>
      <c r="D56" s="7"/>
    </row>
    <row r="57" customFormat="false" ht="27.75" hidden="false" customHeight="true" outlineLevel="0" collapsed="false">
      <c r="A57" s="3" t="s">
        <v>58</v>
      </c>
      <c r="B57" s="45" t="s">
        <v>74</v>
      </c>
      <c r="C57" s="45"/>
      <c r="D57" s="45"/>
    </row>
    <row r="58" customFormat="false" ht="27.75" hidden="false" customHeight="true" outlineLevel="0" collapsed="false">
      <c r="A58" s="3" t="s">
        <v>59</v>
      </c>
      <c r="B58" s="45" t="s">
        <v>75</v>
      </c>
      <c r="C58" s="45"/>
      <c r="D58" s="45"/>
    </row>
    <row r="59" customFormat="false" ht="27.75" hidden="false" customHeight="true" outlineLevel="0" collapsed="false">
      <c r="A59" s="3" t="s">
        <v>60</v>
      </c>
      <c r="B59" s="45" t="s">
        <v>76</v>
      </c>
      <c r="C59" s="45"/>
      <c r="D59" s="45"/>
    </row>
  </sheetData>
  <mergeCells count="3">
    <mergeCell ref="B57:D57"/>
    <mergeCell ref="B58:D58"/>
    <mergeCell ref="B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2026-05-13T05:36:56Z</dcterms:created>
  <dc:creator>openpyxl</dc:creator>
  <dc:description/>
  <dc:language>en-US</dc:language>
  <cp:lastModifiedBy/>
  <dcterms:modified xsi:type="dcterms:W3CDTF">2026-05-13T05:36:56Z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